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EXCEL 2026\"/>
    </mc:Choice>
  </mc:AlternateContent>
  <xr:revisionPtr revIDLastSave="0" documentId="13_ncr:1_{28FACB14-AD00-443E-A1CE-B48F62159923}" xr6:coauthVersionLast="47" xr6:coauthVersionMax="47" xr10:uidLastSave="{00000000-0000-0000-0000-000000000000}"/>
  <bookViews>
    <workbookView xWindow="-28920" yWindow="-120" windowWidth="29040" windowHeight="15840" xr2:uid="{4405B831-4B8A-450D-913E-AFEFEA56F8F0}"/>
  </bookViews>
  <sheets>
    <sheet name="Hoja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53" i="1" l="1"/>
  <c r="X53" i="1"/>
  <c r="Y53" i="1"/>
  <c r="Z53" i="1"/>
  <c r="W54" i="1"/>
  <c r="X54" i="1"/>
  <c r="Y54" i="1"/>
  <c r="Z54" i="1"/>
  <c r="X52" i="1"/>
  <c r="W52" i="1"/>
  <c r="S53" i="1"/>
  <c r="T53" i="1"/>
  <c r="U53" i="1"/>
  <c r="S54" i="1"/>
  <c r="T54" i="1"/>
  <c r="U54" i="1"/>
  <c r="R53" i="1"/>
  <c r="R54" i="1"/>
  <c r="R52" i="1"/>
  <c r="H54" i="1"/>
  <c r="I54" i="1"/>
  <c r="J54" i="1"/>
  <c r="J53" i="1"/>
  <c r="I53" i="1"/>
  <c r="J46" i="1"/>
  <c r="J47" i="1"/>
  <c r="J48" i="1"/>
  <c r="J49" i="1"/>
  <c r="T49" i="1" s="1"/>
  <c r="Y49" i="1" s="1"/>
  <c r="H53" i="1"/>
  <c r="K54" i="1"/>
  <c r="K53" i="1"/>
  <c r="X3" i="1"/>
  <c r="T4" i="1"/>
  <c r="T5" i="1"/>
  <c r="T6" i="1"/>
  <c r="T7" i="1"/>
  <c r="Y7" i="1" s="1"/>
  <c r="T8" i="1"/>
  <c r="T9" i="1"/>
  <c r="T10" i="1"/>
  <c r="T11" i="1"/>
  <c r="Y11" i="1" s="1"/>
  <c r="T12" i="1"/>
  <c r="T13" i="1"/>
  <c r="T15" i="1"/>
  <c r="Y15" i="1" s="1"/>
  <c r="T16" i="1"/>
  <c r="U50" i="1"/>
  <c r="Z50" i="1" s="1"/>
  <c r="U49" i="1"/>
  <c r="W4" i="1"/>
  <c r="X4" i="1"/>
  <c r="Z4" i="1"/>
  <c r="W5" i="1"/>
  <c r="X5" i="1"/>
  <c r="Z5" i="1"/>
  <c r="W6" i="1"/>
  <c r="X6" i="1"/>
  <c r="Z6" i="1"/>
  <c r="W7" i="1"/>
  <c r="X7" i="1"/>
  <c r="Z7" i="1"/>
  <c r="W8" i="1"/>
  <c r="X8" i="1"/>
  <c r="Z8" i="1"/>
  <c r="W9" i="1"/>
  <c r="X9" i="1"/>
  <c r="Z9" i="1"/>
  <c r="W10" i="1"/>
  <c r="X10" i="1"/>
  <c r="Z10" i="1"/>
  <c r="W11" i="1"/>
  <c r="X11" i="1"/>
  <c r="W12" i="1"/>
  <c r="X12" i="1"/>
  <c r="Y12" i="1"/>
  <c r="Z12" i="1"/>
  <c r="W13" i="1"/>
  <c r="X13" i="1"/>
  <c r="W14" i="1"/>
  <c r="X14" i="1"/>
  <c r="W15" i="1"/>
  <c r="W16" i="1"/>
  <c r="W17" i="1"/>
  <c r="W18" i="1"/>
  <c r="W19" i="1"/>
  <c r="X19" i="1"/>
  <c r="W20" i="1"/>
  <c r="W21" i="1"/>
  <c r="X22" i="1"/>
  <c r="W23" i="1"/>
  <c r="W25" i="1"/>
  <c r="X25" i="1"/>
  <c r="W26" i="1"/>
  <c r="W27" i="1"/>
  <c r="X27" i="1"/>
  <c r="W28" i="1"/>
  <c r="X28" i="1"/>
  <c r="W29" i="1"/>
  <c r="X29" i="1"/>
  <c r="W30" i="1"/>
  <c r="W31" i="1"/>
  <c r="W32" i="1"/>
  <c r="W33" i="1"/>
  <c r="W34" i="1"/>
  <c r="X34" i="1"/>
  <c r="W35" i="1"/>
  <c r="W36" i="1"/>
  <c r="Y37" i="1"/>
  <c r="W38" i="1"/>
  <c r="W39" i="1"/>
  <c r="X41" i="1"/>
  <c r="W42" i="1"/>
  <c r="W43" i="1"/>
  <c r="W44" i="1"/>
  <c r="X45" i="1"/>
  <c r="W46" i="1"/>
  <c r="X47" i="1"/>
  <c r="X48" i="1"/>
  <c r="W49" i="1"/>
  <c r="W51" i="1"/>
  <c r="W3" i="1"/>
  <c r="H3" i="1"/>
  <c r="I3" i="1"/>
  <c r="J3" i="1"/>
  <c r="K3" i="1"/>
  <c r="R3" i="1"/>
  <c r="S3" i="1"/>
  <c r="U3" i="1"/>
  <c r="Z3" i="1" s="1"/>
  <c r="H4" i="1"/>
  <c r="I4" i="1"/>
  <c r="J4" i="1"/>
  <c r="K4" i="1"/>
  <c r="R4" i="1"/>
  <c r="S4" i="1"/>
  <c r="Y4" i="1"/>
  <c r="U4" i="1"/>
  <c r="H5" i="1"/>
  <c r="I5" i="1"/>
  <c r="J5" i="1"/>
  <c r="K5" i="1"/>
  <c r="R5" i="1"/>
  <c r="S5" i="1"/>
  <c r="Y5" i="1"/>
  <c r="U5" i="1"/>
  <c r="H6" i="1"/>
  <c r="I6" i="1"/>
  <c r="J6" i="1"/>
  <c r="K6" i="1"/>
  <c r="R6" i="1"/>
  <c r="S6" i="1"/>
  <c r="Y6" i="1"/>
  <c r="U6" i="1"/>
  <c r="H7" i="1"/>
  <c r="I7" i="1"/>
  <c r="J7" i="1"/>
  <c r="K7" i="1"/>
  <c r="R7" i="1"/>
  <c r="S7" i="1"/>
  <c r="U7" i="1"/>
  <c r="H8" i="1"/>
  <c r="I8" i="1"/>
  <c r="J8" i="1"/>
  <c r="K8" i="1"/>
  <c r="R8" i="1"/>
  <c r="S8" i="1"/>
  <c r="Y8" i="1"/>
  <c r="U8" i="1"/>
  <c r="H9" i="1"/>
  <c r="I9" i="1"/>
  <c r="J9" i="1"/>
  <c r="K9" i="1"/>
  <c r="R9" i="1"/>
  <c r="S9" i="1"/>
  <c r="Y9" i="1"/>
  <c r="U9" i="1"/>
  <c r="H10" i="1"/>
  <c r="I10" i="1"/>
  <c r="J10" i="1"/>
  <c r="K10" i="1"/>
  <c r="R10" i="1"/>
  <c r="S10" i="1"/>
  <c r="Y10" i="1"/>
  <c r="U10" i="1"/>
  <c r="H11" i="1"/>
  <c r="I11" i="1"/>
  <c r="J11" i="1"/>
  <c r="K11" i="1"/>
  <c r="R11" i="1"/>
  <c r="S11" i="1"/>
  <c r="U11" i="1"/>
  <c r="Z11" i="1" s="1"/>
  <c r="H12" i="1"/>
  <c r="I12" i="1"/>
  <c r="J12" i="1"/>
  <c r="K12" i="1"/>
  <c r="R12" i="1"/>
  <c r="S12" i="1"/>
  <c r="U12" i="1"/>
  <c r="H13" i="1"/>
  <c r="I13" i="1"/>
  <c r="J13" i="1"/>
  <c r="K13" i="1"/>
  <c r="R13" i="1"/>
  <c r="S13" i="1"/>
  <c r="Y13" i="1"/>
  <c r="U13" i="1"/>
  <c r="Z13" i="1" s="1"/>
  <c r="H14" i="1"/>
  <c r="I14" i="1"/>
  <c r="J14" i="1"/>
  <c r="T14" i="1" s="1"/>
  <c r="Y14" i="1" s="1"/>
  <c r="K14" i="1"/>
  <c r="R14" i="1"/>
  <c r="S14" i="1"/>
  <c r="U14" i="1"/>
  <c r="Z14" i="1" s="1"/>
  <c r="H15" i="1"/>
  <c r="I15" i="1"/>
  <c r="J15" i="1"/>
  <c r="K15" i="1"/>
  <c r="R15" i="1"/>
  <c r="S15" i="1"/>
  <c r="X15" i="1" s="1"/>
  <c r="U15" i="1"/>
  <c r="Z15" i="1" s="1"/>
  <c r="H16" i="1"/>
  <c r="I16" i="1"/>
  <c r="J16" i="1"/>
  <c r="K16" i="1"/>
  <c r="R16" i="1"/>
  <c r="S16" i="1"/>
  <c r="X16" i="1" s="1"/>
  <c r="Y16" i="1"/>
  <c r="U16" i="1"/>
  <c r="Z16" i="1" s="1"/>
  <c r="H17" i="1"/>
  <c r="I17" i="1"/>
  <c r="J17" i="1"/>
  <c r="K17" i="1"/>
  <c r="R17" i="1"/>
  <c r="S17" i="1"/>
  <c r="X17" i="1" s="1"/>
  <c r="T17" i="1"/>
  <c r="Y17" i="1" s="1"/>
  <c r="U17" i="1"/>
  <c r="Z17" i="1" s="1"/>
  <c r="H18" i="1"/>
  <c r="I18" i="1"/>
  <c r="J18" i="1"/>
  <c r="K18" i="1"/>
  <c r="R18" i="1"/>
  <c r="S18" i="1"/>
  <c r="X18" i="1" s="1"/>
  <c r="T18" i="1"/>
  <c r="Y18" i="1" s="1"/>
  <c r="U18" i="1"/>
  <c r="Z18" i="1" s="1"/>
  <c r="H19" i="1"/>
  <c r="I19" i="1"/>
  <c r="J19" i="1"/>
  <c r="K19" i="1"/>
  <c r="R19" i="1"/>
  <c r="S19" i="1"/>
  <c r="T19" i="1"/>
  <c r="Y19" i="1" s="1"/>
  <c r="U19" i="1"/>
  <c r="Z19" i="1" s="1"/>
  <c r="H20" i="1"/>
  <c r="I20" i="1"/>
  <c r="J20" i="1"/>
  <c r="K20" i="1"/>
  <c r="R20" i="1"/>
  <c r="S20" i="1"/>
  <c r="X20" i="1" s="1"/>
  <c r="T20" i="1"/>
  <c r="Y20" i="1" s="1"/>
  <c r="U20" i="1"/>
  <c r="Z20" i="1" s="1"/>
  <c r="H21" i="1"/>
  <c r="I21" i="1"/>
  <c r="J21" i="1"/>
  <c r="K21" i="1"/>
  <c r="R21" i="1"/>
  <c r="S21" i="1"/>
  <c r="X21" i="1" s="1"/>
  <c r="T21" i="1"/>
  <c r="Y21" i="1" s="1"/>
  <c r="U21" i="1"/>
  <c r="Z21" i="1" s="1"/>
  <c r="H22" i="1"/>
  <c r="I22" i="1"/>
  <c r="J22" i="1"/>
  <c r="K22" i="1"/>
  <c r="R22" i="1"/>
  <c r="W22" i="1" s="1"/>
  <c r="S22" i="1"/>
  <c r="T22" i="1"/>
  <c r="Y22" i="1" s="1"/>
  <c r="U22" i="1"/>
  <c r="Z22" i="1" s="1"/>
  <c r="H23" i="1"/>
  <c r="I23" i="1"/>
  <c r="J23" i="1"/>
  <c r="K23" i="1"/>
  <c r="R23" i="1"/>
  <c r="S23" i="1"/>
  <c r="X23" i="1" s="1"/>
  <c r="T23" i="1"/>
  <c r="Y23" i="1" s="1"/>
  <c r="U23" i="1"/>
  <c r="Z23" i="1" s="1"/>
  <c r="H24" i="1"/>
  <c r="I24" i="1"/>
  <c r="J24" i="1"/>
  <c r="K24" i="1"/>
  <c r="R24" i="1"/>
  <c r="W24" i="1" s="1"/>
  <c r="S24" i="1"/>
  <c r="X24" i="1" s="1"/>
  <c r="T24" i="1"/>
  <c r="Y24" i="1" s="1"/>
  <c r="U24" i="1"/>
  <c r="Z24" i="1" s="1"/>
  <c r="H25" i="1"/>
  <c r="I25" i="1"/>
  <c r="J25" i="1"/>
  <c r="K25" i="1"/>
  <c r="R25" i="1"/>
  <c r="S25" i="1"/>
  <c r="T25" i="1"/>
  <c r="Y25" i="1" s="1"/>
  <c r="U25" i="1"/>
  <c r="Z25" i="1" s="1"/>
  <c r="H26" i="1"/>
  <c r="I26" i="1"/>
  <c r="J26" i="1"/>
  <c r="K26" i="1"/>
  <c r="R26" i="1"/>
  <c r="S26" i="1"/>
  <c r="X26" i="1" s="1"/>
  <c r="T26" i="1"/>
  <c r="Y26" i="1" s="1"/>
  <c r="U26" i="1"/>
  <c r="Z26" i="1" s="1"/>
  <c r="H27" i="1"/>
  <c r="I27" i="1"/>
  <c r="J27" i="1"/>
  <c r="K27" i="1"/>
  <c r="R27" i="1"/>
  <c r="S27" i="1"/>
  <c r="T27" i="1"/>
  <c r="Y27" i="1" s="1"/>
  <c r="U27" i="1"/>
  <c r="Z27" i="1" s="1"/>
  <c r="H28" i="1"/>
  <c r="I28" i="1"/>
  <c r="J28" i="1"/>
  <c r="K28" i="1"/>
  <c r="R28" i="1"/>
  <c r="S28" i="1"/>
  <c r="T28" i="1"/>
  <c r="Y28" i="1" s="1"/>
  <c r="U28" i="1"/>
  <c r="Z28" i="1" s="1"/>
  <c r="H29" i="1"/>
  <c r="I29" i="1"/>
  <c r="J29" i="1"/>
  <c r="K29" i="1"/>
  <c r="R29" i="1"/>
  <c r="S29" i="1"/>
  <c r="T29" i="1"/>
  <c r="Y29" i="1" s="1"/>
  <c r="U29" i="1"/>
  <c r="Z29" i="1" s="1"/>
  <c r="H30" i="1"/>
  <c r="I30" i="1"/>
  <c r="J30" i="1"/>
  <c r="K30" i="1"/>
  <c r="R30" i="1"/>
  <c r="S30" i="1"/>
  <c r="X30" i="1" s="1"/>
  <c r="T30" i="1"/>
  <c r="Y30" i="1" s="1"/>
  <c r="U30" i="1"/>
  <c r="Z30" i="1" s="1"/>
  <c r="H31" i="1"/>
  <c r="I31" i="1"/>
  <c r="J31" i="1"/>
  <c r="K31" i="1"/>
  <c r="R31" i="1"/>
  <c r="S31" i="1"/>
  <c r="X31" i="1" s="1"/>
  <c r="T31" i="1"/>
  <c r="Y31" i="1" s="1"/>
  <c r="U31" i="1"/>
  <c r="Z31" i="1" s="1"/>
  <c r="H32" i="1"/>
  <c r="I32" i="1"/>
  <c r="J32" i="1"/>
  <c r="K32" i="1"/>
  <c r="R32" i="1"/>
  <c r="S32" i="1"/>
  <c r="X32" i="1" s="1"/>
  <c r="T32" i="1"/>
  <c r="Y32" i="1" s="1"/>
  <c r="U32" i="1"/>
  <c r="Z32" i="1" s="1"/>
  <c r="H33" i="1"/>
  <c r="I33" i="1"/>
  <c r="J33" i="1"/>
  <c r="K33" i="1"/>
  <c r="R33" i="1"/>
  <c r="S33" i="1"/>
  <c r="X33" i="1" s="1"/>
  <c r="T33" i="1"/>
  <c r="Y33" i="1" s="1"/>
  <c r="U33" i="1"/>
  <c r="Z33" i="1" s="1"/>
  <c r="H34" i="1"/>
  <c r="I34" i="1"/>
  <c r="J34" i="1"/>
  <c r="K34" i="1"/>
  <c r="R34" i="1"/>
  <c r="S34" i="1"/>
  <c r="T34" i="1"/>
  <c r="Y34" i="1" s="1"/>
  <c r="U34" i="1"/>
  <c r="Z34" i="1" s="1"/>
  <c r="H35" i="1"/>
  <c r="I35" i="1"/>
  <c r="J35" i="1"/>
  <c r="K35" i="1"/>
  <c r="R35" i="1"/>
  <c r="S35" i="1"/>
  <c r="X35" i="1" s="1"/>
  <c r="T35" i="1"/>
  <c r="Y35" i="1" s="1"/>
  <c r="U35" i="1"/>
  <c r="Z35" i="1" s="1"/>
  <c r="H36" i="1"/>
  <c r="I36" i="1"/>
  <c r="J36" i="1"/>
  <c r="K36" i="1"/>
  <c r="R36" i="1"/>
  <c r="S36" i="1"/>
  <c r="X36" i="1" s="1"/>
  <c r="T36" i="1"/>
  <c r="Y36" i="1" s="1"/>
  <c r="U36" i="1"/>
  <c r="Z36" i="1" s="1"/>
  <c r="H37" i="1"/>
  <c r="I37" i="1"/>
  <c r="J37" i="1"/>
  <c r="K37" i="1"/>
  <c r="R37" i="1"/>
  <c r="W37" i="1" s="1"/>
  <c r="S37" i="1"/>
  <c r="X37" i="1" s="1"/>
  <c r="T37" i="1"/>
  <c r="U37" i="1"/>
  <c r="Z37" i="1" s="1"/>
  <c r="H38" i="1"/>
  <c r="I38" i="1"/>
  <c r="J38" i="1"/>
  <c r="K38" i="1"/>
  <c r="R38" i="1"/>
  <c r="S38" i="1"/>
  <c r="X38" i="1" s="1"/>
  <c r="T38" i="1"/>
  <c r="Y38" i="1" s="1"/>
  <c r="U38" i="1"/>
  <c r="Z38" i="1" s="1"/>
  <c r="H39" i="1"/>
  <c r="I39" i="1"/>
  <c r="J39" i="1"/>
  <c r="K39" i="1"/>
  <c r="R39" i="1"/>
  <c r="S39" i="1"/>
  <c r="X39" i="1" s="1"/>
  <c r="T39" i="1"/>
  <c r="Y39" i="1" s="1"/>
  <c r="U39" i="1"/>
  <c r="Z39" i="1" s="1"/>
  <c r="H40" i="1"/>
  <c r="I40" i="1"/>
  <c r="J40" i="1"/>
  <c r="K40" i="1"/>
  <c r="R40" i="1"/>
  <c r="W40" i="1" s="1"/>
  <c r="S40" i="1"/>
  <c r="X40" i="1" s="1"/>
  <c r="T40" i="1"/>
  <c r="Y40" i="1" s="1"/>
  <c r="U40" i="1"/>
  <c r="Z40" i="1" s="1"/>
  <c r="H41" i="1"/>
  <c r="I41" i="1"/>
  <c r="J41" i="1"/>
  <c r="K41" i="1"/>
  <c r="R41" i="1"/>
  <c r="W41" i="1" s="1"/>
  <c r="S41" i="1"/>
  <c r="T41" i="1"/>
  <c r="Y41" i="1" s="1"/>
  <c r="U41" i="1"/>
  <c r="Z41" i="1" s="1"/>
  <c r="H42" i="1"/>
  <c r="I42" i="1"/>
  <c r="J42" i="1"/>
  <c r="K42" i="1"/>
  <c r="R42" i="1"/>
  <c r="S42" i="1"/>
  <c r="X42" i="1" s="1"/>
  <c r="T42" i="1"/>
  <c r="Y42" i="1" s="1"/>
  <c r="U42" i="1"/>
  <c r="Z42" i="1" s="1"/>
  <c r="H43" i="1"/>
  <c r="I43" i="1"/>
  <c r="J43" i="1"/>
  <c r="K43" i="1"/>
  <c r="R43" i="1"/>
  <c r="S43" i="1"/>
  <c r="X43" i="1" s="1"/>
  <c r="T43" i="1"/>
  <c r="Y43" i="1" s="1"/>
  <c r="U43" i="1"/>
  <c r="Z43" i="1" s="1"/>
  <c r="H44" i="1"/>
  <c r="I44" i="1"/>
  <c r="J44" i="1"/>
  <c r="K44" i="1"/>
  <c r="R44" i="1"/>
  <c r="S44" i="1"/>
  <c r="X44" i="1" s="1"/>
  <c r="T44" i="1"/>
  <c r="Y44" i="1" s="1"/>
  <c r="U44" i="1"/>
  <c r="Z44" i="1" s="1"/>
  <c r="H45" i="1"/>
  <c r="I45" i="1"/>
  <c r="J45" i="1"/>
  <c r="K45" i="1"/>
  <c r="R45" i="1"/>
  <c r="W45" i="1" s="1"/>
  <c r="S45" i="1"/>
  <c r="T45" i="1"/>
  <c r="Y45" i="1" s="1"/>
  <c r="U45" i="1"/>
  <c r="Z45" i="1" s="1"/>
  <c r="H46" i="1"/>
  <c r="I46" i="1"/>
  <c r="K46" i="1"/>
  <c r="R46" i="1"/>
  <c r="S46" i="1"/>
  <c r="X46" i="1" s="1"/>
  <c r="T46" i="1"/>
  <c r="Y46" i="1" s="1"/>
  <c r="U46" i="1"/>
  <c r="Z46" i="1" s="1"/>
  <c r="H47" i="1"/>
  <c r="I47" i="1"/>
  <c r="K47" i="1"/>
  <c r="R47" i="1"/>
  <c r="W47" i="1" s="1"/>
  <c r="S47" i="1"/>
  <c r="T47" i="1"/>
  <c r="Y47" i="1" s="1"/>
  <c r="U47" i="1"/>
  <c r="Z47" i="1" s="1"/>
  <c r="H48" i="1"/>
  <c r="I48" i="1"/>
  <c r="K48" i="1"/>
  <c r="R48" i="1"/>
  <c r="W48" i="1" s="1"/>
  <c r="S48" i="1"/>
  <c r="T48" i="1"/>
  <c r="Y48" i="1" s="1"/>
  <c r="U48" i="1"/>
  <c r="Z48" i="1" s="1"/>
  <c r="H49" i="1"/>
  <c r="I49" i="1"/>
  <c r="K49" i="1"/>
  <c r="R49" i="1"/>
  <c r="S49" i="1"/>
  <c r="X49" i="1" s="1"/>
  <c r="Z49" i="1"/>
  <c r="H50" i="1"/>
  <c r="I50" i="1"/>
  <c r="J50" i="1"/>
  <c r="K50" i="1"/>
  <c r="R50" i="1"/>
  <c r="W50" i="1" s="1"/>
  <c r="S50" i="1"/>
  <c r="X50" i="1" s="1"/>
  <c r="T50" i="1"/>
  <c r="Y50" i="1" s="1"/>
  <c r="H51" i="1"/>
  <c r="I51" i="1"/>
  <c r="J51" i="1"/>
  <c r="K51" i="1"/>
  <c r="R51" i="1"/>
  <c r="S51" i="1"/>
  <c r="X51" i="1" s="1"/>
  <c r="T51" i="1"/>
  <c r="Y51" i="1" s="1"/>
  <c r="U51" i="1"/>
  <c r="Z51" i="1" s="1"/>
  <c r="H52" i="1"/>
  <c r="I52" i="1"/>
  <c r="J52" i="1"/>
  <c r="K52" i="1"/>
  <c r="S52" i="1"/>
  <c r="T52" i="1"/>
  <c r="Y52" i="1" s="1"/>
  <c r="U52" i="1"/>
  <c r="Z52" i="1" s="1"/>
  <c r="T3" i="1" l="1"/>
  <c r="Y3" i="1" s="1"/>
</calcChain>
</file>

<file path=xl/sharedStrings.xml><?xml version="1.0" encoding="utf-8"?>
<sst xmlns="http://schemas.openxmlformats.org/spreadsheetml/2006/main" count="57" uniqueCount="57">
  <si>
    <t xml:space="preserve">secador de  manos </t>
  </si>
  <si>
    <t xml:space="preserve">dispensador de jabon acero 1.000 ml  codo </t>
  </si>
  <si>
    <t xml:space="preserve">dispensador de jabon acero 1.300 ml </t>
  </si>
  <si>
    <t>dispensador de jabon acero 1.200 ml  espuma</t>
  </si>
  <si>
    <t xml:space="preserve">dispensador de jabon acero 1.000 ml </t>
  </si>
  <si>
    <t xml:space="preserve">dispensador de 500 ml en brass </t>
  </si>
  <si>
    <t xml:space="preserve">dispensador de jabon acero 500 ml </t>
  </si>
  <si>
    <t>DISPENSADOR DOBLE DE 600 ML</t>
  </si>
  <si>
    <t xml:space="preserve">DISPENSADOR TOALLA ROLLO SENSOR </t>
  </si>
  <si>
    <t xml:space="preserve">DISPENSADOR DE TOALLAS EN ROLLO  PALANCA </t>
  </si>
  <si>
    <t xml:space="preserve">dispensador de toalla en precorte automatico </t>
  </si>
  <si>
    <t>DISPENSADOR TOALLAS ECOTOWEL</t>
  </si>
  <si>
    <t>DISPENSADOR TOALLA LUXURY</t>
  </si>
  <si>
    <t xml:space="preserve">dispensador de  toalla   en acero </t>
  </si>
  <si>
    <t xml:space="preserve">DISPENSADOR DE PAPEL DOBLE ROLLO </t>
  </si>
  <si>
    <t xml:space="preserve">DISPENSADOR PAPEL FLUJO CENTRAL </t>
  </si>
  <si>
    <t xml:space="preserve">DISPENSADOR PAPEL ACERO </t>
  </si>
  <si>
    <t xml:space="preserve">SERVILLETERO GRANDE </t>
  </si>
  <si>
    <t xml:space="preserve">Organizador De Maquinas </t>
  </si>
  <si>
    <t>Dispensador de 2 Plus</t>
  </si>
  <si>
    <t>Dispensador de 2 Kids</t>
  </si>
  <si>
    <t xml:space="preserve">Dispensador de 4 Cepillos </t>
  </si>
  <si>
    <t xml:space="preserve">Dispensador de 5 Cepillos </t>
  </si>
  <si>
    <t>Dispensador Toalla Center Pull  VORTEX</t>
  </si>
  <si>
    <t xml:space="preserve">Dispensador  De Toalla Tipo c o z Chapa Plastica METALICO NEGRO </t>
  </si>
  <si>
    <t xml:space="preserve">Dispensador  De Toalla Tipo c o z Chapa Plastica Negro </t>
  </si>
  <si>
    <t xml:space="preserve">Dispensador  De Toalla Tipo c o z Chapa Plastica METALICO BLANCO  </t>
  </si>
  <si>
    <t>Dispensador  De Toalla Tipo c o z Chapa Plastica Blanco</t>
  </si>
  <si>
    <t>Dispensador Papel Institucional  NEGRO CIERRE METALICO</t>
  </si>
  <si>
    <t>Dispensador Papel Institucional  Negro  Chapa Plastica</t>
  </si>
  <si>
    <t>Dispensador Papel Institucional  Blanco CIERRE METALICO</t>
  </si>
  <si>
    <t>Dispensador Papel Institucional  Blanco Chapa Plastica</t>
  </si>
  <si>
    <t xml:space="preserve">Dispensador de papel junior </t>
  </si>
  <si>
    <t xml:space="preserve">servilletero de mesa </t>
  </si>
  <si>
    <t>XPERT FRASCO VALVULA JABON ESPUMA</t>
  </si>
  <si>
    <t xml:space="preserve">XPERT FRASCO VALVULA JABON LIQUIDO </t>
  </si>
  <si>
    <t xml:space="preserve">XPERT BOLSA VALVULA JABON ESPUMA </t>
  </si>
  <si>
    <t xml:space="preserve">XPERT BOLSA VALVULA JABON LIQUIDO </t>
  </si>
  <si>
    <t xml:space="preserve">rac klin  soporte negro </t>
  </si>
  <si>
    <t xml:space="preserve">rac klin  soporte metalico </t>
  </si>
  <si>
    <t xml:space="preserve"> Dispensador De Jabon espuma - alcohol   1000 ML sensor </t>
  </si>
  <si>
    <t xml:space="preserve"> Dispensador De Jabon liquido -gel  1000 ML sensor </t>
  </si>
  <si>
    <t xml:space="preserve"> Dispensador De Jabon 1000 ML EN Policarbonato </t>
  </si>
  <si>
    <t xml:space="preserve"> Dispensador De Jabon 1000 ML EN ABS </t>
  </si>
  <si>
    <t xml:space="preserve"> Dispensador De Jabon 800 ML Negro </t>
  </si>
  <si>
    <t xml:space="preserve"> Dispensador De Jabon 800 ML Blanco </t>
  </si>
  <si>
    <t xml:space="preserve"> Dispensador De Jabon 600 ML Negro </t>
  </si>
  <si>
    <t xml:space="preserve"> Dispensador De Jabon 600 ML Blanco </t>
  </si>
  <si>
    <t xml:space="preserve"> Dispensador De Jabon 500 ML Negro </t>
  </si>
  <si>
    <t xml:space="preserve"> Dispensador De Jabon 500 ML Blanco </t>
  </si>
  <si>
    <t xml:space="preserve">precio antes de iva </t>
  </si>
  <si>
    <t xml:space="preserve">precio con iva 
antes de envio </t>
  </si>
  <si>
    <t xml:space="preserve">precio  final iva y envio </t>
  </si>
  <si>
    <t xml:space="preserve">precio  final  unidad  mas envio e iva </t>
  </si>
  <si>
    <t xml:space="preserve">precio  de envios  mas 15 % de  imprevisto en 48 y 100 </t>
  </si>
  <si>
    <t xml:space="preserve">deco klin flotante </t>
  </si>
  <si>
    <t>deco klin con repisa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</si>
</sst>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164" fontId="0" fillId="0" borderId="1" xfId="0" applyNumberFormat="1" applyBorder="1" applyAlignment="1">
      <alignment horizontal="left"/>
    </xf>
    <xf numFmtId="164" fontId="0" fillId="2" borderId="2" xfId="1" applyNumberFormat="1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vertical="center"/>
    </xf>
    <xf numFmtId="164" fontId="0" fillId="0" borderId="2" xfId="1" applyNumberFormat="1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2" borderId="2" xfId="0" applyFill="1" applyBorder="1"/>
    <xf numFmtId="164" fontId="0" fillId="0" borderId="2" xfId="0" applyNumberFormat="1" applyBorder="1"/>
    <xf numFmtId="164" fontId="0" fillId="0" borderId="2" xfId="0" applyNumberFormat="1" applyBorder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/>
    <xf numFmtId="164" fontId="0" fillId="2" borderId="3" xfId="1" applyNumberFormat="1" applyFont="1" applyFill="1" applyBorder="1" applyAlignment="1">
      <alignment horizontal="left"/>
    </xf>
    <xf numFmtId="164" fontId="0" fillId="0" borderId="4" xfId="0" applyNumberFormat="1" applyFill="1" applyBorder="1" applyAlignment="1">
      <alignment horizontal="left"/>
    </xf>
    <xf numFmtId="164" fontId="0" fillId="0" borderId="5" xfId="0" applyNumberFormat="1" applyFill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94B5-02DD-405D-9387-BD3347D3103F}">
  <dimension ref="A1:Z54"/>
  <sheetViews>
    <sheetView tabSelected="1" topLeftCell="A43" workbookViewId="0">
      <selection activeCell="A55" sqref="A55"/>
    </sheetView>
  </sheetViews>
  <sheetFormatPr baseColWidth="10" defaultRowHeight="15" x14ac:dyDescent="0.25"/>
  <cols>
    <col min="1" max="1" width="113.85546875" customWidth="1"/>
    <col min="2" max="2" width="11.42578125" style="1" customWidth="1"/>
    <col min="3" max="4" width="12" bestFit="1" customWidth="1"/>
    <col min="5" max="5" width="13" bestFit="1" customWidth="1"/>
    <col min="6" max="6" width="12" bestFit="1" customWidth="1"/>
    <col min="7" max="7" width="11.42578125" customWidth="1"/>
    <col min="8" max="11" width="12" customWidth="1"/>
    <col min="12" max="12" width="11.42578125" customWidth="1"/>
    <col min="13" max="13" width="9.42578125" customWidth="1"/>
    <col min="14" max="15" width="10.42578125" customWidth="1"/>
    <col min="16" max="16" width="12" customWidth="1"/>
    <col min="17" max="17" width="11.42578125" customWidth="1"/>
    <col min="18" max="18" width="12" customWidth="1"/>
    <col min="19" max="20" width="13" customWidth="1"/>
    <col min="21" max="21" width="14" customWidth="1"/>
    <col min="23" max="26" width="12" bestFit="1" customWidth="1"/>
  </cols>
  <sheetData>
    <row r="1" spans="1:26" ht="57" customHeight="1" x14ac:dyDescent="0.5">
      <c r="C1" s="19" t="s">
        <v>50</v>
      </c>
      <c r="D1" s="19"/>
      <c r="E1" s="19"/>
      <c r="F1" s="19"/>
      <c r="H1" s="16" t="s">
        <v>51</v>
      </c>
      <c r="I1" s="17"/>
      <c r="J1" s="17"/>
      <c r="K1" s="17"/>
      <c r="M1" s="15" t="s">
        <v>54</v>
      </c>
      <c r="N1" s="15"/>
      <c r="O1" s="15"/>
      <c r="P1" s="15"/>
      <c r="R1" s="18" t="s">
        <v>52</v>
      </c>
      <c r="S1" s="18"/>
      <c r="T1" s="18"/>
      <c r="U1" s="18"/>
      <c r="W1" s="20" t="s">
        <v>53</v>
      </c>
      <c r="X1" s="20"/>
      <c r="Y1" s="20"/>
      <c r="Z1" s="20"/>
    </row>
    <row r="2" spans="1:26" ht="36" customHeight="1" x14ac:dyDescent="0.25">
      <c r="C2" s="8">
        <v>1</v>
      </c>
      <c r="D2" s="8">
        <v>12</v>
      </c>
      <c r="E2" s="8">
        <v>48</v>
      </c>
      <c r="F2" s="8">
        <v>100</v>
      </c>
      <c r="H2" s="12">
        <v>1</v>
      </c>
      <c r="I2" s="12">
        <v>12</v>
      </c>
      <c r="J2" s="12">
        <v>48</v>
      </c>
      <c r="K2" s="12">
        <v>100</v>
      </c>
      <c r="M2" s="13">
        <v>1</v>
      </c>
      <c r="N2" s="13">
        <v>12</v>
      </c>
      <c r="O2" s="13">
        <v>48</v>
      </c>
      <c r="P2" s="13">
        <v>100</v>
      </c>
      <c r="R2" s="14">
        <v>1</v>
      </c>
      <c r="S2" s="14">
        <v>12</v>
      </c>
      <c r="T2" s="14">
        <v>48</v>
      </c>
      <c r="U2" s="14">
        <v>100</v>
      </c>
      <c r="W2" s="14">
        <v>1</v>
      </c>
      <c r="X2" s="14">
        <v>12</v>
      </c>
      <c r="Y2" s="14">
        <v>48</v>
      </c>
      <c r="Z2" s="14">
        <v>100</v>
      </c>
    </row>
    <row r="3" spans="1:26" x14ac:dyDescent="0.25">
      <c r="A3" s="6" t="s">
        <v>49</v>
      </c>
      <c r="B3" s="5"/>
      <c r="C3" s="3">
        <v>27268</v>
      </c>
      <c r="D3" s="3">
        <v>24900</v>
      </c>
      <c r="E3" s="3">
        <v>21900</v>
      </c>
      <c r="F3" s="3">
        <v>18500</v>
      </c>
      <c r="H3" s="2">
        <f t="shared" ref="H3:H34" si="0">((C3*19%)+C3)</f>
        <v>32448.92</v>
      </c>
      <c r="I3" s="2">
        <f t="shared" ref="I3:I34" si="1">((D3*19%)+D3)</f>
        <v>29631</v>
      </c>
      <c r="J3" s="2">
        <f t="shared" ref="J3:J34" si="2">((E3*19%)+E3)</f>
        <v>26061</v>
      </c>
      <c r="K3" s="2">
        <f t="shared" ref="K3:K34" si="3">((F3*19%)+F3)</f>
        <v>22015</v>
      </c>
      <c r="M3" s="2">
        <v>17460</v>
      </c>
      <c r="N3" s="2">
        <v>23340</v>
      </c>
      <c r="O3" s="2">
        <v>51750</v>
      </c>
      <c r="P3" s="2">
        <v>74750</v>
      </c>
      <c r="R3" s="2">
        <f t="shared" ref="R3:R34" si="4">H3+M3</f>
        <v>49908.92</v>
      </c>
      <c r="S3" s="2">
        <f t="shared" ref="S3:S34" si="5">((I3*12)+N3)</f>
        <v>378912</v>
      </c>
      <c r="T3" s="2">
        <f>((J3*48)+O3)</f>
        <v>1302678</v>
      </c>
      <c r="U3" s="2">
        <f t="shared" ref="U3:U34" si="6">((K3*100+P3))</f>
        <v>2276250</v>
      </c>
      <c r="W3" s="10">
        <f>R3</f>
        <v>49908.92</v>
      </c>
      <c r="X3" s="10">
        <f>S3/12</f>
        <v>31576</v>
      </c>
      <c r="Y3" s="11">
        <f>T3/48</f>
        <v>27139.125</v>
      </c>
      <c r="Z3" s="11">
        <f>U3/100</f>
        <v>22762.5</v>
      </c>
    </row>
    <row r="4" spans="1:26" x14ac:dyDescent="0.25">
      <c r="A4" s="6" t="s">
        <v>48</v>
      </c>
      <c r="B4" s="5"/>
      <c r="C4" s="3">
        <v>27268</v>
      </c>
      <c r="D4" s="3">
        <v>24900</v>
      </c>
      <c r="E4" s="3">
        <v>21900</v>
      </c>
      <c r="F4" s="3">
        <v>18500</v>
      </c>
      <c r="H4" s="2">
        <f t="shared" si="0"/>
        <v>32448.92</v>
      </c>
      <c r="I4" s="2">
        <f t="shared" si="1"/>
        <v>29631</v>
      </c>
      <c r="J4" s="2">
        <f t="shared" si="2"/>
        <v>26061</v>
      </c>
      <c r="K4" s="2">
        <f t="shared" si="3"/>
        <v>22015</v>
      </c>
      <c r="M4" s="2">
        <v>17460</v>
      </c>
      <c r="N4" s="2">
        <v>23340</v>
      </c>
      <c r="O4" s="2">
        <v>51750</v>
      </c>
      <c r="P4" s="2">
        <v>74750</v>
      </c>
      <c r="R4" s="2">
        <f t="shared" si="4"/>
        <v>49908.92</v>
      </c>
      <c r="S4" s="2">
        <f t="shared" si="5"/>
        <v>378912</v>
      </c>
      <c r="T4" s="2">
        <f t="shared" ref="T4:T16" si="7">((J4*48)+O4)</f>
        <v>1302678</v>
      </c>
      <c r="U4" s="2">
        <f t="shared" si="6"/>
        <v>2276250</v>
      </c>
      <c r="W4" s="10">
        <f t="shared" ref="W4:W52" si="8">R4</f>
        <v>49908.92</v>
      </c>
      <c r="X4" s="10">
        <f t="shared" ref="X4:X52" si="9">S4/12</f>
        <v>31576</v>
      </c>
      <c r="Y4" s="11">
        <f t="shared" ref="Y4:Y52" si="10">T4/48</f>
        <v>27139.125</v>
      </c>
      <c r="Z4" s="11">
        <f t="shared" ref="Z4:Z52" si="11">U4/100</f>
        <v>22762.5</v>
      </c>
    </row>
    <row r="5" spans="1:26" x14ac:dyDescent="0.25">
      <c r="A5" s="6" t="s">
        <v>47</v>
      </c>
      <c r="B5" s="5"/>
      <c r="C5" s="3">
        <v>27268</v>
      </c>
      <c r="D5" s="3">
        <v>24900</v>
      </c>
      <c r="E5" s="3">
        <v>21900</v>
      </c>
      <c r="F5" s="3">
        <v>18500</v>
      </c>
      <c r="H5" s="2">
        <f t="shared" si="0"/>
        <v>32448.92</v>
      </c>
      <c r="I5" s="2">
        <f t="shared" si="1"/>
        <v>29631</v>
      </c>
      <c r="J5" s="2">
        <f t="shared" si="2"/>
        <v>26061</v>
      </c>
      <c r="K5" s="2">
        <f t="shared" si="3"/>
        <v>22015</v>
      </c>
      <c r="M5" s="2">
        <v>17460</v>
      </c>
      <c r="N5" s="2">
        <v>23340</v>
      </c>
      <c r="O5" s="2">
        <v>51750</v>
      </c>
      <c r="P5" s="2">
        <v>74750</v>
      </c>
      <c r="R5" s="2">
        <f t="shared" si="4"/>
        <v>49908.92</v>
      </c>
      <c r="S5" s="2">
        <f t="shared" si="5"/>
        <v>378912</v>
      </c>
      <c r="T5" s="2">
        <f t="shared" si="7"/>
        <v>1302678</v>
      </c>
      <c r="U5" s="2">
        <f t="shared" si="6"/>
        <v>2276250</v>
      </c>
      <c r="W5" s="10">
        <f t="shared" si="8"/>
        <v>49908.92</v>
      </c>
      <c r="X5" s="10">
        <f t="shared" si="9"/>
        <v>31576</v>
      </c>
      <c r="Y5" s="11">
        <f t="shared" si="10"/>
        <v>27139.125</v>
      </c>
      <c r="Z5" s="11">
        <f t="shared" si="11"/>
        <v>22762.5</v>
      </c>
    </row>
    <row r="6" spans="1:26" x14ac:dyDescent="0.25">
      <c r="A6" s="6" t="s">
        <v>46</v>
      </c>
      <c r="B6" s="5"/>
      <c r="C6" s="3">
        <v>27268</v>
      </c>
      <c r="D6" s="3">
        <v>24900</v>
      </c>
      <c r="E6" s="3">
        <v>21900</v>
      </c>
      <c r="F6" s="3">
        <v>18500</v>
      </c>
      <c r="H6" s="2">
        <f t="shared" si="0"/>
        <v>32448.92</v>
      </c>
      <c r="I6" s="2">
        <f t="shared" si="1"/>
        <v>29631</v>
      </c>
      <c r="J6" s="2">
        <f t="shared" si="2"/>
        <v>26061</v>
      </c>
      <c r="K6" s="2">
        <f t="shared" si="3"/>
        <v>22015</v>
      </c>
      <c r="M6" s="2">
        <v>17460</v>
      </c>
      <c r="N6" s="2">
        <v>23340</v>
      </c>
      <c r="O6" s="2">
        <v>51750</v>
      </c>
      <c r="P6" s="2">
        <v>74750</v>
      </c>
      <c r="R6" s="2">
        <f t="shared" si="4"/>
        <v>49908.92</v>
      </c>
      <c r="S6" s="2">
        <f t="shared" si="5"/>
        <v>378912</v>
      </c>
      <c r="T6" s="2">
        <f t="shared" si="7"/>
        <v>1302678</v>
      </c>
      <c r="U6" s="2">
        <f t="shared" si="6"/>
        <v>2276250</v>
      </c>
      <c r="W6" s="10">
        <f t="shared" si="8"/>
        <v>49908.92</v>
      </c>
      <c r="X6" s="10">
        <f t="shared" si="9"/>
        <v>31576</v>
      </c>
      <c r="Y6" s="11">
        <f t="shared" si="10"/>
        <v>27139.125</v>
      </c>
      <c r="Z6" s="11">
        <f t="shared" si="11"/>
        <v>22762.5</v>
      </c>
    </row>
    <row r="7" spans="1:26" x14ac:dyDescent="0.25">
      <c r="A7" s="6" t="s">
        <v>45</v>
      </c>
      <c r="B7" s="5"/>
      <c r="C7" s="3">
        <v>30621</v>
      </c>
      <c r="D7" s="3">
        <v>29400</v>
      </c>
      <c r="E7" s="3">
        <v>28500</v>
      </c>
      <c r="F7" s="3">
        <v>24900</v>
      </c>
      <c r="H7" s="2">
        <f t="shared" si="0"/>
        <v>36438.99</v>
      </c>
      <c r="I7" s="2">
        <f t="shared" si="1"/>
        <v>34986</v>
      </c>
      <c r="J7" s="2">
        <f t="shared" si="2"/>
        <v>33915</v>
      </c>
      <c r="K7" s="2">
        <f t="shared" si="3"/>
        <v>29631</v>
      </c>
      <c r="M7" s="2">
        <v>17460</v>
      </c>
      <c r="N7" s="2">
        <v>23340</v>
      </c>
      <c r="O7" s="2">
        <v>51750</v>
      </c>
      <c r="P7" s="2">
        <v>74750</v>
      </c>
      <c r="R7" s="2">
        <f t="shared" si="4"/>
        <v>53898.99</v>
      </c>
      <c r="S7" s="2">
        <f t="shared" si="5"/>
        <v>443172</v>
      </c>
      <c r="T7" s="2">
        <f t="shared" si="7"/>
        <v>1679670</v>
      </c>
      <c r="U7" s="2">
        <f t="shared" si="6"/>
        <v>3037850</v>
      </c>
      <c r="W7" s="10">
        <f t="shared" si="8"/>
        <v>53898.99</v>
      </c>
      <c r="X7" s="10">
        <f t="shared" si="9"/>
        <v>36931</v>
      </c>
      <c r="Y7" s="11">
        <f t="shared" si="10"/>
        <v>34993.125</v>
      </c>
      <c r="Z7" s="11">
        <f t="shared" si="11"/>
        <v>30378.5</v>
      </c>
    </row>
    <row r="8" spans="1:26" x14ac:dyDescent="0.25">
      <c r="A8" s="6" t="s">
        <v>44</v>
      </c>
      <c r="B8" s="5"/>
      <c r="C8" s="3">
        <v>30621</v>
      </c>
      <c r="D8" s="3">
        <v>29400</v>
      </c>
      <c r="E8" s="3">
        <v>28500</v>
      </c>
      <c r="F8" s="3">
        <v>24900</v>
      </c>
      <c r="H8" s="2">
        <f t="shared" si="0"/>
        <v>36438.99</v>
      </c>
      <c r="I8" s="2">
        <f t="shared" si="1"/>
        <v>34986</v>
      </c>
      <c r="J8" s="2">
        <f t="shared" si="2"/>
        <v>33915</v>
      </c>
      <c r="K8" s="2">
        <f t="shared" si="3"/>
        <v>29631</v>
      </c>
      <c r="M8" s="2">
        <v>17460</v>
      </c>
      <c r="N8" s="2">
        <v>23340</v>
      </c>
      <c r="O8" s="2">
        <v>51750</v>
      </c>
      <c r="P8" s="2">
        <v>74750</v>
      </c>
      <c r="R8" s="2">
        <f t="shared" si="4"/>
        <v>53898.99</v>
      </c>
      <c r="S8" s="2">
        <f t="shared" si="5"/>
        <v>443172</v>
      </c>
      <c r="T8" s="2">
        <f t="shared" si="7"/>
        <v>1679670</v>
      </c>
      <c r="U8" s="2">
        <f t="shared" si="6"/>
        <v>3037850</v>
      </c>
      <c r="W8" s="10">
        <f t="shared" si="8"/>
        <v>53898.99</v>
      </c>
      <c r="X8" s="10">
        <f t="shared" si="9"/>
        <v>36931</v>
      </c>
      <c r="Y8" s="11">
        <f t="shared" si="10"/>
        <v>34993.125</v>
      </c>
      <c r="Z8" s="11">
        <f t="shared" si="11"/>
        <v>30378.5</v>
      </c>
    </row>
    <row r="9" spans="1:26" x14ac:dyDescent="0.25">
      <c r="A9" s="6" t="s">
        <v>43</v>
      </c>
      <c r="B9" s="5"/>
      <c r="C9" s="3">
        <v>35663</v>
      </c>
      <c r="D9" s="3">
        <v>32500</v>
      </c>
      <c r="E9" s="3">
        <v>29900</v>
      </c>
      <c r="F9" s="3">
        <v>27900</v>
      </c>
      <c r="H9" s="2">
        <f t="shared" si="0"/>
        <v>42438.97</v>
      </c>
      <c r="I9" s="2">
        <f t="shared" si="1"/>
        <v>38675</v>
      </c>
      <c r="J9" s="2">
        <f t="shared" si="2"/>
        <v>35581</v>
      </c>
      <c r="K9" s="2">
        <f t="shared" si="3"/>
        <v>33201</v>
      </c>
      <c r="M9" s="2">
        <v>17460</v>
      </c>
      <c r="N9" s="2">
        <v>23340</v>
      </c>
      <c r="O9" s="2">
        <v>51750</v>
      </c>
      <c r="P9" s="2">
        <v>74750</v>
      </c>
      <c r="R9" s="2">
        <f t="shared" si="4"/>
        <v>59898.97</v>
      </c>
      <c r="S9" s="2">
        <f t="shared" si="5"/>
        <v>487440</v>
      </c>
      <c r="T9" s="2">
        <f t="shared" si="7"/>
        <v>1759638</v>
      </c>
      <c r="U9" s="2">
        <f t="shared" si="6"/>
        <v>3394850</v>
      </c>
      <c r="W9" s="10">
        <f t="shared" si="8"/>
        <v>59898.97</v>
      </c>
      <c r="X9" s="10">
        <f t="shared" si="9"/>
        <v>40620</v>
      </c>
      <c r="Y9" s="11">
        <f t="shared" si="10"/>
        <v>36659.125</v>
      </c>
      <c r="Z9" s="11">
        <f t="shared" si="11"/>
        <v>33948.5</v>
      </c>
    </row>
    <row r="10" spans="1:26" x14ac:dyDescent="0.25">
      <c r="A10" s="6" t="s">
        <v>42</v>
      </c>
      <c r="B10" s="5"/>
      <c r="C10" s="3">
        <v>34823</v>
      </c>
      <c r="D10" s="3">
        <v>31500</v>
      </c>
      <c r="E10" s="3">
        <v>28900</v>
      </c>
      <c r="F10" s="3">
        <v>24900</v>
      </c>
      <c r="H10" s="2">
        <f t="shared" si="0"/>
        <v>41439.370000000003</v>
      </c>
      <c r="I10" s="2">
        <f t="shared" si="1"/>
        <v>37485</v>
      </c>
      <c r="J10" s="2">
        <f t="shared" si="2"/>
        <v>34391</v>
      </c>
      <c r="K10" s="2">
        <f t="shared" si="3"/>
        <v>29631</v>
      </c>
      <c r="M10" s="2">
        <v>17460</v>
      </c>
      <c r="N10" s="2">
        <v>23340</v>
      </c>
      <c r="O10" s="2">
        <v>51750</v>
      </c>
      <c r="P10" s="2">
        <v>74750</v>
      </c>
      <c r="R10" s="2">
        <f t="shared" si="4"/>
        <v>58899.37</v>
      </c>
      <c r="S10" s="2">
        <f t="shared" si="5"/>
        <v>473160</v>
      </c>
      <c r="T10" s="2">
        <f t="shared" si="7"/>
        <v>1702518</v>
      </c>
      <c r="U10" s="2">
        <f t="shared" si="6"/>
        <v>3037850</v>
      </c>
      <c r="W10" s="10">
        <f t="shared" si="8"/>
        <v>58899.37</v>
      </c>
      <c r="X10" s="10">
        <f t="shared" si="9"/>
        <v>39430</v>
      </c>
      <c r="Y10" s="11">
        <f t="shared" si="10"/>
        <v>35469.125</v>
      </c>
      <c r="Z10" s="11">
        <f t="shared" si="11"/>
        <v>30378.5</v>
      </c>
    </row>
    <row r="11" spans="1:26" x14ac:dyDescent="0.25">
      <c r="A11" s="6" t="s">
        <v>41</v>
      </c>
      <c r="B11" s="5"/>
      <c r="C11" s="3">
        <v>102890</v>
      </c>
      <c r="D11" s="3">
        <v>94500</v>
      </c>
      <c r="E11" s="3">
        <v>91300</v>
      </c>
      <c r="F11" s="3">
        <v>87000</v>
      </c>
      <c r="H11" s="2">
        <f t="shared" si="0"/>
        <v>122439.1</v>
      </c>
      <c r="I11" s="2">
        <f t="shared" si="1"/>
        <v>112455</v>
      </c>
      <c r="J11" s="2">
        <f t="shared" si="2"/>
        <v>108647</v>
      </c>
      <c r="K11" s="2">
        <f t="shared" si="3"/>
        <v>103530</v>
      </c>
      <c r="M11" s="2">
        <v>17460</v>
      </c>
      <c r="N11" s="2">
        <v>23340</v>
      </c>
      <c r="O11" s="2">
        <v>51750</v>
      </c>
      <c r="P11" s="2">
        <v>138000</v>
      </c>
      <c r="R11" s="2">
        <f t="shared" si="4"/>
        <v>139899.1</v>
      </c>
      <c r="S11" s="2">
        <f t="shared" si="5"/>
        <v>1372800</v>
      </c>
      <c r="T11" s="2">
        <f t="shared" si="7"/>
        <v>5266806</v>
      </c>
      <c r="U11" s="2">
        <f t="shared" si="6"/>
        <v>10491000</v>
      </c>
      <c r="W11" s="10">
        <f t="shared" si="8"/>
        <v>139899.1</v>
      </c>
      <c r="X11" s="10">
        <f t="shared" si="9"/>
        <v>114400</v>
      </c>
      <c r="Y11" s="11">
        <f t="shared" si="10"/>
        <v>109725.125</v>
      </c>
      <c r="Z11" s="11">
        <f t="shared" si="11"/>
        <v>104910</v>
      </c>
    </row>
    <row r="12" spans="1:26" x14ac:dyDescent="0.25">
      <c r="A12" s="6" t="s">
        <v>40</v>
      </c>
      <c r="B12" s="5"/>
      <c r="C12" s="3">
        <v>102890</v>
      </c>
      <c r="D12" s="3">
        <v>94500</v>
      </c>
      <c r="E12" s="3">
        <v>91300</v>
      </c>
      <c r="F12" s="3">
        <v>87000</v>
      </c>
      <c r="H12" s="2">
        <f t="shared" si="0"/>
        <v>122439.1</v>
      </c>
      <c r="I12" s="2">
        <f t="shared" si="1"/>
        <v>112455</v>
      </c>
      <c r="J12" s="2">
        <f t="shared" si="2"/>
        <v>108647</v>
      </c>
      <c r="K12" s="2">
        <f t="shared" si="3"/>
        <v>103530</v>
      </c>
      <c r="M12" s="2">
        <v>17460</v>
      </c>
      <c r="N12" s="2">
        <v>23340</v>
      </c>
      <c r="O12" s="2">
        <v>51750</v>
      </c>
      <c r="P12" s="2">
        <v>138000</v>
      </c>
      <c r="R12" s="2">
        <f t="shared" si="4"/>
        <v>139899.1</v>
      </c>
      <c r="S12" s="2">
        <f t="shared" si="5"/>
        <v>1372800</v>
      </c>
      <c r="T12" s="2">
        <f t="shared" si="7"/>
        <v>5266806</v>
      </c>
      <c r="U12" s="2">
        <f t="shared" si="6"/>
        <v>10491000</v>
      </c>
      <c r="W12" s="10">
        <f t="shared" si="8"/>
        <v>139899.1</v>
      </c>
      <c r="X12" s="10">
        <f t="shared" si="9"/>
        <v>114400</v>
      </c>
      <c r="Y12" s="11">
        <f t="shared" si="10"/>
        <v>109725.125</v>
      </c>
      <c r="Z12" s="11">
        <f t="shared" si="11"/>
        <v>104910</v>
      </c>
    </row>
    <row r="13" spans="1:26" x14ac:dyDescent="0.25">
      <c r="A13" s="6" t="s">
        <v>39</v>
      </c>
      <c r="B13" s="5"/>
      <c r="C13" s="3">
        <v>31462</v>
      </c>
      <c r="D13" s="3">
        <v>29200</v>
      </c>
      <c r="E13" s="3">
        <v>28300</v>
      </c>
      <c r="F13" s="3">
        <v>26300</v>
      </c>
      <c r="H13" s="2">
        <f t="shared" si="0"/>
        <v>37439.78</v>
      </c>
      <c r="I13" s="2">
        <f t="shared" si="1"/>
        <v>34748</v>
      </c>
      <c r="J13" s="2">
        <f t="shared" si="2"/>
        <v>33677</v>
      </c>
      <c r="K13" s="2">
        <f t="shared" si="3"/>
        <v>31297</v>
      </c>
      <c r="M13" s="2">
        <v>17460</v>
      </c>
      <c r="N13" s="2">
        <v>17460</v>
      </c>
      <c r="O13" s="2">
        <v>34500</v>
      </c>
      <c r="P13" s="2">
        <v>74750</v>
      </c>
      <c r="R13" s="2">
        <f t="shared" si="4"/>
        <v>54899.78</v>
      </c>
      <c r="S13" s="2">
        <f t="shared" si="5"/>
        <v>434436</v>
      </c>
      <c r="T13" s="2">
        <f t="shared" si="7"/>
        <v>1650996</v>
      </c>
      <c r="U13" s="2">
        <f t="shared" si="6"/>
        <v>3204450</v>
      </c>
      <c r="W13" s="10">
        <f t="shared" si="8"/>
        <v>54899.78</v>
      </c>
      <c r="X13" s="10">
        <f t="shared" si="9"/>
        <v>36203</v>
      </c>
      <c r="Y13" s="11">
        <f t="shared" si="10"/>
        <v>34395.75</v>
      </c>
      <c r="Z13" s="11">
        <f t="shared" si="11"/>
        <v>32044.5</v>
      </c>
    </row>
    <row r="14" spans="1:26" x14ac:dyDescent="0.25">
      <c r="A14" s="6" t="s">
        <v>38</v>
      </c>
      <c r="B14" s="5"/>
      <c r="C14" s="3">
        <v>35663</v>
      </c>
      <c r="D14" s="3">
        <v>31200</v>
      </c>
      <c r="E14" s="3">
        <v>29400</v>
      </c>
      <c r="F14" s="3">
        <v>28300</v>
      </c>
      <c r="H14" s="2">
        <f t="shared" si="0"/>
        <v>42438.97</v>
      </c>
      <c r="I14" s="2">
        <f t="shared" si="1"/>
        <v>37128</v>
      </c>
      <c r="J14" s="2">
        <f t="shared" si="2"/>
        <v>34986</v>
      </c>
      <c r="K14" s="2">
        <f t="shared" si="3"/>
        <v>33677</v>
      </c>
      <c r="M14" s="2">
        <v>17460</v>
      </c>
      <c r="N14" s="2">
        <v>17460</v>
      </c>
      <c r="O14" s="2">
        <v>34500</v>
      </c>
      <c r="P14" s="2">
        <v>74750</v>
      </c>
      <c r="R14" s="2">
        <f t="shared" si="4"/>
        <v>59898.97</v>
      </c>
      <c r="S14" s="2">
        <f t="shared" si="5"/>
        <v>462996</v>
      </c>
      <c r="T14" s="2">
        <f t="shared" si="7"/>
        <v>1713828</v>
      </c>
      <c r="U14" s="2">
        <f t="shared" si="6"/>
        <v>3442450</v>
      </c>
      <c r="W14" s="10">
        <f t="shared" si="8"/>
        <v>59898.97</v>
      </c>
      <c r="X14" s="10">
        <f t="shared" si="9"/>
        <v>38583</v>
      </c>
      <c r="Y14" s="11">
        <f t="shared" si="10"/>
        <v>35704.75</v>
      </c>
      <c r="Z14" s="11">
        <f t="shared" si="11"/>
        <v>34424.5</v>
      </c>
    </row>
    <row r="15" spans="1:26" x14ac:dyDescent="0.25">
      <c r="A15" s="6" t="s">
        <v>37</v>
      </c>
      <c r="B15" s="5"/>
      <c r="C15" s="3">
        <v>77680</v>
      </c>
      <c r="D15" s="3">
        <v>68900</v>
      </c>
      <c r="E15" s="3">
        <v>64900</v>
      </c>
      <c r="F15" s="3">
        <v>59900</v>
      </c>
      <c r="H15" s="2">
        <f t="shared" si="0"/>
        <v>92439.2</v>
      </c>
      <c r="I15" s="2">
        <f t="shared" si="1"/>
        <v>81991</v>
      </c>
      <c r="J15" s="2">
        <f t="shared" si="2"/>
        <v>77231</v>
      </c>
      <c r="K15" s="2">
        <f t="shared" si="3"/>
        <v>71281</v>
      </c>
      <c r="M15" s="2">
        <v>17460</v>
      </c>
      <c r="N15" s="2">
        <v>30000</v>
      </c>
      <c r="O15" s="2">
        <v>74750</v>
      </c>
      <c r="P15" s="2">
        <v>154700</v>
      </c>
      <c r="R15" s="2">
        <f t="shared" si="4"/>
        <v>109899.2</v>
      </c>
      <c r="S15" s="2">
        <f t="shared" si="5"/>
        <v>1013892</v>
      </c>
      <c r="T15" s="2">
        <f t="shared" si="7"/>
        <v>3781838</v>
      </c>
      <c r="U15" s="2">
        <f t="shared" si="6"/>
        <v>7282800</v>
      </c>
      <c r="W15" s="10">
        <f t="shared" si="8"/>
        <v>109899.2</v>
      </c>
      <c r="X15" s="10">
        <f t="shared" si="9"/>
        <v>84491</v>
      </c>
      <c r="Y15" s="11">
        <f t="shared" si="10"/>
        <v>78788.291666666672</v>
      </c>
      <c r="Z15" s="11">
        <f t="shared" si="11"/>
        <v>72828</v>
      </c>
    </row>
    <row r="16" spans="1:26" x14ac:dyDescent="0.25">
      <c r="A16" s="6" t="s">
        <v>36</v>
      </c>
      <c r="B16" s="5"/>
      <c r="C16" s="3">
        <v>77680</v>
      </c>
      <c r="D16" s="3">
        <v>67900</v>
      </c>
      <c r="E16" s="3">
        <v>64900</v>
      </c>
      <c r="F16" s="3">
        <v>56900</v>
      </c>
      <c r="H16" s="2">
        <f t="shared" si="0"/>
        <v>92439.2</v>
      </c>
      <c r="I16" s="2">
        <f t="shared" si="1"/>
        <v>80801</v>
      </c>
      <c r="J16" s="2">
        <f t="shared" si="2"/>
        <v>77231</v>
      </c>
      <c r="K16" s="2">
        <f t="shared" si="3"/>
        <v>67711</v>
      </c>
      <c r="M16" s="2">
        <v>17460</v>
      </c>
      <c r="N16" s="2">
        <v>30000</v>
      </c>
      <c r="O16" s="2">
        <v>74750</v>
      </c>
      <c r="P16" s="2">
        <v>154700</v>
      </c>
      <c r="R16" s="2">
        <f t="shared" si="4"/>
        <v>109899.2</v>
      </c>
      <c r="S16" s="2">
        <f t="shared" si="5"/>
        <v>999612</v>
      </c>
      <c r="T16" s="2">
        <f t="shared" si="7"/>
        <v>3781838</v>
      </c>
      <c r="U16" s="2">
        <f t="shared" si="6"/>
        <v>6925800</v>
      </c>
      <c r="W16" s="10">
        <f t="shared" si="8"/>
        <v>109899.2</v>
      </c>
      <c r="X16" s="10">
        <f t="shared" si="9"/>
        <v>83301</v>
      </c>
      <c r="Y16" s="11">
        <f t="shared" si="10"/>
        <v>78788.291666666672</v>
      </c>
      <c r="Z16" s="11">
        <f t="shared" si="11"/>
        <v>69258</v>
      </c>
    </row>
    <row r="17" spans="1:26" x14ac:dyDescent="0.25">
      <c r="A17" s="6" t="s">
        <v>35</v>
      </c>
      <c r="B17" s="5"/>
      <c r="C17" s="3">
        <v>77680</v>
      </c>
      <c r="D17" s="3">
        <v>68900</v>
      </c>
      <c r="E17" s="3">
        <v>64900</v>
      </c>
      <c r="F17" s="3">
        <v>58900</v>
      </c>
      <c r="H17" s="2">
        <f t="shared" si="0"/>
        <v>92439.2</v>
      </c>
      <c r="I17" s="2">
        <f t="shared" si="1"/>
        <v>81991</v>
      </c>
      <c r="J17" s="2">
        <f t="shared" si="2"/>
        <v>77231</v>
      </c>
      <c r="K17" s="2">
        <f t="shared" si="3"/>
        <v>70091</v>
      </c>
      <c r="M17" s="2">
        <v>17460</v>
      </c>
      <c r="N17" s="2">
        <v>30000</v>
      </c>
      <c r="O17" s="2">
        <v>74750</v>
      </c>
      <c r="P17" s="2">
        <v>154700</v>
      </c>
      <c r="R17" s="2">
        <f t="shared" si="4"/>
        <v>109899.2</v>
      </c>
      <c r="S17" s="2">
        <f t="shared" si="5"/>
        <v>1013892</v>
      </c>
      <c r="T17" s="2">
        <f t="shared" ref="T17:T34" si="12">((J17*48)+O17)</f>
        <v>3781838</v>
      </c>
      <c r="U17" s="2">
        <f t="shared" si="6"/>
        <v>7163800</v>
      </c>
      <c r="W17" s="10">
        <f t="shared" si="8"/>
        <v>109899.2</v>
      </c>
      <c r="X17" s="10">
        <f t="shared" si="9"/>
        <v>84491</v>
      </c>
      <c r="Y17" s="11">
        <f t="shared" si="10"/>
        <v>78788.291666666672</v>
      </c>
      <c r="Z17" s="11">
        <f t="shared" si="11"/>
        <v>71638</v>
      </c>
    </row>
    <row r="18" spans="1:26" x14ac:dyDescent="0.25">
      <c r="A18" s="6" t="s">
        <v>34</v>
      </c>
      <c r="B18" s="5"/>
      <c r="C18" s="3">
        <v>77680</v>
      </c>
      <c r="D18" s="3">
        <v>67900</v>
      </c>
      <c r="E18" s="3">
        <v>64900</v>
      </c>
      <c r="F18" s="3">
        <v>59900</v>
      </c>
      <c r="H18" s="2">
        <f t="shared" si="0"/>
        <v>92439.2</v>
      </c>
      <c r="I18" s="2">
        <f t="shared" si="1"/>
        <v>80801</v>
      </c>
      <c r="J18" s="2">
        <f t="shared" si="2"/>
        <v>77231</v>
      </c>
      <c r="K18" s="2">
        <f t="shared" si="3"/>
        <v>71281</v>
      </c>
      <c r="M18" s="2">
        <v>17460</v>
      </c>
      <c r="N18" s="2">
        <v>30000</v>
      </c>
      <c r="O18" s="2">
        <v>74750</v>
      </c>
      <c r="P18" s="2">
        <v>154700</v>
      </c>
      <c r="R18" s="2">
        <f t="shared" si="4"/>
        <v>109899.2</v>
      </c>
      <c r="S18" s="2">
        <f t="shared" si="5"/>
        <v>999612</v>
      </c>
      <c r="T18" s="2">
        <f t="shared" si="12"/>
        <v>3781838</v>
      </c>
      <c r="U18" s="2">
        <f t="shared" si="6"/>
        <v>7282800</v>
      </c>
      <c r="W18" s="10">
        <f t="shared" si="8"/>
        <v>109899.2</v>
      </c>
      <c r="X18" s="10">
        <f t="shared" si="9"/>
        <v>83301</v>
      </c>
      <c r="Y18" s="11">
        <f t="shared" si="10"/>
        <v>78788.291666666672</v>
      </c>
      <c r="Z18" s="11">
        <f t="shared" si="11"/>
        <v>72828</v>
      </c>
    </row>
    <row r="19" spans="1:26" x14ac:dyDescent="0.25">
      <c r="A19" s="6" t="s">
        <v>33</v>
      </c>
      <c r="B19" s="5"/>
      <c r="C19" s="3">
        <v>27260</v>
      </c>
      <c r="D19" s="3">
        <v>26300</v>
      </c>
      <c r="E19" s="3">
        <v>25860</v>
      </c>
      <c r="F19" s="3">
        <v>24900</v>
      </c>
      <c r="H19" s="2">
        <f t="shared" si="0"/>
        <v>32439.4</v>
      </c>
      <c r="I19" s="2">
        <f t="shared" si="1"/>
        <v>31297</v>
      </c>
      <c r="J19" s="2">
        <f t="shared" si="2"/>
        <v>30773.4</v>
      </c>
      <c r="K19" s="2">
        <f t="shared" si="3"/>
        <v>29631</v>
      </c>
      <c r="M19" s="2">
        <v>17460</v>
      </c>
      <c r="N19" s="2">
        <v>30000</v>
      </c>
      <c r="O19" s="2">
        <v>48000</v>
      </c>
      <c r="P19" s="2">
        <v>154700</v>
      </c>
      <c r="R19" s="2">
        <f t="shared" si="4"/>
        <v>49899.4</v>
      </c>
      <c r="S19" s="2">
        <f t="shared" si="5"/>
        <v>405564</v>
      </c>
      <c r="T19" s="2">
        <f t="shared" si="12"/>
        <v>1525123.2000000002</v>
      </c>
      <c r="U19" s="2">
        <f t="shared" si="6"/>
        <v>3117800</v>
      </c>
      <c r="W19" s="10">
        <f t="shared" si="8"/>
        <v>49899.4</v>
      </c>
      <c r="X19" s="10">
        <f t="shared" si="9"/>
        <v>33797</v>
      </c>
      <c r="Y19" s="11">
        <f t="shared" si="10"/>
        <v>31773.400000000005</v>
      </c>
      <c r="Z19" s="11">
        <f t="shared" si="11"/>
        <v>31178</v>
      </c>
    </row>
    <row r="20" spans="1:26" x14ac:dyDescent="0.25">
      <c r="A20" s="6" t="s">
        <v>32</v>
      </c>
      <c r="B20" s="5"/>
      <c r="C20" s="3">
        <v>27260</v>
      </c>
      <c r="D20" s="3">
        <v>24900</v>
      </c>
      <c r="E20" s="3">
        <v>22500</v>
      </c>
      <c r="F20" s="3">
        <v>18900</v>
      </c>
      <c r="H20" s="2">
        <f t="shared" si="0"/>
        <v>32439.4</v>
      </c>
      <c r="I20" s="2">
        <f t="shared" si="1"/>
        <v>29631</v>
      </c>
      <c r="J20" s="2">
        <f t="shared" si="2"/>
        <v>26775</v>
      </c>
      <c r="K20" s="2">
        <f t="shared" si="3"/>
        <v>22491</v>
      </c>
      <c r="M20" s="2">
        <v>17460</v>
      </c>
      <c r="N20" s="2">
        <v>30000</v>
      </c>
      <c r="O20" s="2">
        <v>74750</v>
      </c>
      <c r="P20" s="2">
        <v>154700</v>
      </c>
      <c r="R20" s="2">
        <f t="shared" si="4"/>
        <v>49899.4</v>
      </c>
      <c r="S20" s="2">
        <f t="shared" si="5"/>
        <v>385572</v>
      </c>
      <c r="T20" s="2">
        <f t="shared" si="12"/>
        <v>1359950</v>
      </c>
      <c r="U20" s="2">
        <f t="shared" si="6"/>
        <v>2403800</v>
      </c>
      <c r="W20" s="10">
        <f t="shared" si="8"/>
        <v>49899.4</v>
      </c>
      <c r="X20" s="10">
        <f t="shared" si="9"/>
        <v>32131</v>
      </c>
      <c r="Y20" s="11">
        <f t="shared" si="10"/>
        <v>28332.291666666668</v>
      </c>
      <c r="Z20" s="11">
        <f t="shared" si="11"/>
        <v>24038</v>
      </c>
    </row>
    <row r="21" spans="1:26" x14ac:dyDescent="0.25">
      <c r="A21" s="6" t="s">
        <v>31</v>
      </c>
      <c r="B21" s="5"/>
      <c r="C21" s="3">
        <v>35663</v>
      </c>
      <c r="D21" s="3">
        <v>33900</v>
      </c>
      <c r="E21" s="3">
        <v>31500</v>
      </c>
      <c r="F21" s="3">
        <v>29900</v>
      </c>
      <c r="H21" s="2">
        <f t="shared" si="0"/>
        <v>42438.97</v>
      </c>
      <c r="I21" s="2">
        <f t="shared" si="1"/>
        <v>40341</v>
      </c>
      <c r="J21" s="2">
        <f t="shared" si="2"/>
        <v>37485</v>
      </c>
      <c r="K21" s="2">
        <f t="shared" si="3"/>
        <v>35581</v>
      </c>
      <c r="M21" s="2">
        <v>17460</v>
      </c>
      <c r="N21" s="2">
        <v>45000</v>
      </c>
      <c r="O21" s="2">
        <v>107100</v>
      </c>
      <c r="P21" s="2">
        <v>333200</v>
      </c>
      <c r="R21" s="2">
        <f t="shared" si="4"/>
        <v>59898.97</v>
      </c>
      <c r="S21" s="2">
        <f t="shared" si="5"/>
        <v>529092</v>
      </c>
      <c r="T21" s="2">
        <f t="shared" si="12"/>
        <v>1906380</v>
      </c>
      <c r="U21" s="2">
        <f t="shared" si="6"/>
        <v>3891300</v>
      </c>
      <c r="W21" s="10">
        <f t="shared" si="8"/>
        <v>59898.97</v>
      </c>
      <c r="X21" s="10">
        <f t="shared" si="9"/>
        <v>44091</v>
      </c>
      <c r="Y21" s="11">
        <f t="shared" si="10"/>
        <v>39716.25</v>
      </c>
      <c r="Z21" s="11">
        <f t="shared" si="11"/>
        <v>38913</v>
      </c>
    </row>
    <row r="22" spans="1:26" x14ac:dyDescent="0.25">
      <c r="A22" s="6" t="s">
        <v>30</v>
      </c>
      <c r="B22" s="5"/>
      <c r="C22" s="3">
        <v>44067</v>
      </c>
      <c r="D22" s="3">
        <v>43200</v>
      </c>
      <c r="E22" s="3">
        <v>41900</v>
      </c>
      <c r="F22" s="7">
        <v>40900</v>
      </c>
      <c r="H22" s="2">
        <f t="shared" si="0"/>
        <v>52439.729999999996</v>
      </c>
      <c r="I22" s="2">
        <f t="shared" si="1"/>
        <v>51408</v>
      </c>
      <c r="J22" s="2">
        <f t="shared" si="2"/>
        <v>49861</v>
      </c>
      <c r="K22" s="2">
        <f t="shared" si="3"/>
        <v>48671</v>
      </c>
      <c r="M22" s="2">
        <v>17460</v>
      </c>
      <c r="N22" s="2">
        <v>45000</v>
      </c>
      <c r="O22" s="2">
        <v>107100</v>
      </c>
      <c r="P22" s="2">
        <v>333200</v>
      </c>
      <c r="R22" s="2">
        <f t="shared" si="4"/>
        <v>69899.73</v>
      </c>
      <c r="S22" s="2">
        <f t="shared" si="5"/>
        <v>661896</v>
      </c>
      <c r="T22" s="2">
        <f t="shared" si="12"/>
        <v>2500428</v>
      </c>
      <c r="U22" s="2">
        <f t="shared" si="6"/>
        <v>5200300</v>
      </c>
      <c r="W22" s="10">
        <f t="shared" si="8"/>
        <v>69899.73</v>
      </c>
      <c r="X22" s="10">
        <f t="shared" si="9"/>
        <v>55158</v>
      </c>
      <c r="Y22" s="11">
        <f t="shared" si="10"/>
        <v>52092.25</v>
      </c>
      <c r="Z22" s="11">
        <f t="shared" si="11"/>
        <v>52003</v>
      </c>
    </row>
    <row r="23" spans="1:26" x14ac:dyDescent="0.25">
      <c r="A23" s="6" t="s">
        <v>29</v>
      </c>
      <c r="B23" s="5"/>
      <c r="C23" s="3">
        <v>35663</v>
      </c>
      <c r="D23" s="3">
        <v>33900</v>
      </c>
      <c r="E23" s="3">
        <v>31500</v>
      </c>
      <c r="F23" s="3">
        <v>29900</v>
      </c>
      <c r="H23" s="2">
        <f t="shared" si="0"/>
        <v>42438.97</v>
      </c>
      <c r="I23" s="2">
        <f t="shared" si="1"/>
        <v>40341</v>
      </c>
      <c r="J23" s="2">
        <f t="shared" si="2"/>
        <v>37485</v>
      </c>
      <c r="K23" s="2">
        <f t="shared" si="3"/>
        <v>35581</v>
      </c>
      <c r="M23" s="2">
        <v>17460</v>
      </c>
      <c r="N23" s="2">
        <v>45000</v>
      </c>
      <c r="O23" s="2">
        <v>107100</v>
      </c>
      <c r="P23" s="2">
        <v>333200</v>
      </c>
      <c r="R23" s="2">
        <f t="shared" si="4"/>
        <v>59898.97</v>
      </c>
      <c r="S23" s="2">
        <f t="shared" si="5"/>
        <v>529092</v>
      </c>
      <c r="T23" s="2">
        <f t="shared" si="12"/>
        <v>1906380</v>
      </c>
      <c r="U23" s="2">
        <f t="shared" si="6"/>
        <v>3891300</v>
      </c>
      <c r="W23" s="10">
        <f t="shared" si="8"/>
        <v>59898.97</v>
      </c>
      <c r="X23" s="10">
        <f t="shared" si="9"/>
        <v>44091</v>
      </c>
      <c r="Y23" s="11">
        <f t="shared" si="10"/>
        <v>39716.25</v>
      </c>
      <c r="Z23" s="11">
        <f t="shared" si="11"/>
        <v>38913</v>
      </c>
    </row>
    <row r="24" spans="1:26" x14ac:dyDescent="0.25">
      <c r="A24" s="6" t="s">
        <v>28</v>
      </c>
      <c r="B24" s="5"/>
      <c r="C24" s="3">
        <v>44067</v>
      </c>
      <c r="D24" s="3">
        <v>43200</v>
      </c>
      <c r="E24" s="3">
        <v>41900</v>
      </c>
      <c r="F24" s="7">
        <v>40900</v>
      </c>
      <c r="H24" s="2">
        <f t="shared" si="0"/>
        <v>52439.729999999996</v>
      </c>
      <c r="I24" s="2">
        <f t="shared" si="1"/>
        <v>51408</v>
      </c>
      <c r="J24" s="2">
        <f t="shared" si="2"/>
        <v>49861</v>
      </c>
      <c r="K24" s="2">
        <f t="shared" si="3"/>
        <v>48671</v>
      </c>
      <c r="M24" s="2">
        <v>17460</v>
      </c>
      <c r="N24" s="2">
        <v>45000</v>
      </c>
      <c r="O24" s="2">
        <v>107100</v>
      </c>
      <c r="P24" s="2">
        <v>333200</v>
      </c>
      <c r="R24" s="2">
        <f t="shared" si="4"/>
        <v>69899.73</v>
      </c>
      <c r="S24" s="2">
        <f t="shared" si="5"/>
        <v>661896</v>
      </c>
      <c r="T24" s="2">
        <f t="shared" si="12"/>
        <v>2500428</v>
      </c>
      <c r="U24" s="2">
        <f t="shared" si="6"/>
        <v>5200300</v>
      </c>
      <c r="W24" s="10">
        <f t="shared" si="8"/>
        <v>69899.73</v>
      </c>
      <c r="X24" s="10">
        <f t="shared" si="9"/>
        <v>55158</v>
      </c>
      <c r="Y24" s="11">
        <f t="shared" si="10"/>
        <v>52092.25</v>
      </c>
      <c r="Z24" s="11">
        <f t="shared" si="11"/>
        <v>52003</v>
      </c>
    </row>
    <row r="25" spans="1:26" x14ac:dyDescent="0.25">
      <c r="A25" s="6" t="s">
        <v>27</v>
      </c>
      <c r="B25" s="5"/>
      <c r="C25" s="3">
        <v>33142</v>
      </c>
      <c r="D25" s="3">
        <v>31900</v>
      </c>
      <c r="E25" s="3">
        <v>29900</v>
      </c>
      <c r="F25" s="3">
        <v>26900</v>
      </c>
      <c r="H25" s="2">
        <f t="shared" si="0"/>
        <v>39438.980000000003</v>
      </c>
      <c r="I25" s="2">
        <f t="shared" si="1"/>
        <v>37961</v>
      </c>
      <c r="J25" s="2">
        <f t="shared" si="2"/>
        <v>35581</v>
      </c>
      <c r="K25" s="2">
        <f t="shared" si="3"/>
        <v>32011</v>
      </c>
      <c r="M25" s="2">
        <v>17460</v>
      </c>
      <c r="N25" s="2">
        <v>45000</v>
      </c>
      <c r="O25" s="2">
        <v>107100</v>
      </c>
      <c r="P25" s="2">
        <v>226100</v>
      </c>
      <c r="R25" s="2">
        <f t="shared" si="4"/>
        <v>56898.98</v>
      </c>
      <c r="S25" s="2">
        <f t="shared" si="5"/>
        <v>500532</v>
      </c>
      <c r="T25" s="2">
        <f t="shared" si="12"/>
        <v>1814988</v>
      </c>
      <c r="U25" s="2">
        <f t="shared" si="6"/>
        <v>3427200</v>
      </c>
      <c r="W25" s="10">
        <f t="shared" si="8"/>
        <v>56898.98</v>
      </c>
      <c r="X25" s="10">
        <f t="shared" si="9"/>
        <v>41711</v>
      </c>
      <c r="Y25" s="11">
        <f t="shared" si="10"/>
        <v>37812.25</v>
      </c>
      <c r="Z25" s="11">
        <f t="shared" si="11"/>
        <v>34272</v>
      </c>
    </row>
    <row r="26" spans="1:26" x14ac:dyDescent="0.25">
      <c r="A26" s="6" t="s">
        <v>26</v>
      </c>
      <c r="B26" s="5"/>
      <c r="C26" s="3">
        <v>44067</v>
      </c>
      <c r="D26" s="3">
        <v>41900</v>
      </c>
      <c r="E26" s="3">
        <v>31900</v>
      </c>
      <c r="F26" s="3">
        <v>33900</v>
      </c>
      <c r="H26" s="2">
        <f t="shared" si="0"/>
        <v>52439.729999999996</v>
      </c>
      <c r="I26" s="2">
        <f t="shared" si="1"/>
        <v>49861</v>
      </c>
      <c r="J26" s="2">
        <f t="shared" si="2"/>
        <v>37961</v>
      </c>
      <c r="K26" s="2">
        <f t="shared" si="3"/>
        <v>40341</v>
      </c>
      <c r="M26" s="2">
        <v>17460</v>
      </c>
      <c r="N26" s="2">
        <v>45000</v>
      </c>
      <c r="O26" s="2">
        <v>107100</v>
      </c>
      <c r="P26" s="2">
        <v>226100</v>
      </c>
      <c r="R26" s="2">
        <f t="shared" si="4"/>
        <v>69899.73</v>
      </c>
      <c r="S26" s="2">
        <f t="shared" si="5"/>
        <v>643332</v>
      </c>
      <c r="T26" s="2">
        <f t="shared" si="12"/>
        <v>1929228</v>
      </c>
      <c r="U26" s="2">
        <f t="shared" si="6"/>
        <v>4260200</v>
      </c>
      <c r="W26" s="10">
        <f t="shared" si="8"/>
        <v>69899.73</v>
      </c>
      <c r="X26" s="10">
        <f t="shared" si="9"/>
        <v>53611</v>
      </c>
      <c r="Y26" s="11">
        <f t="shared" si="10"/>
        <v>40192.25</v>
      </c>
      <c r="Z26" s="11">
        <f t="shared" si="11"/>
        <v>42602</v>
      </c>
    </row>
    <row r="27" spans="1:26" x14ac:dyDescent="0.25">
      <c r="A27" s="6" t="s">
        <v>25</v>
      </c>
      <c r="B27" s="5"/>
      <c r="C27" s="3">
        <v>33142</v>
      </c>
      <c r="D27" s="3">
        <v>31900</v>
      </c>
      <c r="E27" s="3">
        <v>29900</v>
      </c>
      <c r="F27" s="3">
        <v>26900</v>
      </c>
      <c r="H27" s="2">
        <f t="shared" si="0"/>
        <v>39438.980000000003</v>
      </c>
      <c r="I27" s="2">
        <f t="shared" si="1"/>
        <v>37961</v>
      </c>
      <c r="J27" s="2">
        <f t="shared" si="2"/>
        <v>35581</v>
      </c>
      <c r="K27" s="2">
        <f t="shared" si="3"/>
        <v>32011</v>
      </c>
      <c r="M27" s="2">
        <v>17460</v>
      </c>
      <c r="N27" s="2">
        <v>45000</v>
      </c>
      <c r="O27" s="2">
        <v>107100</v>
      </c>
      <c r="P27" s="2">
        <v>226100</v>
      </c>
      <c r="R27" s="2">
        <f t="shared" si="4"/>
        <v>56898.98</v>
      </c>
      <c r="S27" s="2">
        <f t="shared" si="5"/>
        <v>500532</v>
      </c>
      <c r="T27" s="2">
        <f t="shared" si="12"/>
        <v>1814988</v>
      </c>
      <c r="U27" s="2">
        <f t="shared" si="6"/>
        <v>3427200</v>
      </c>
      <c r="W27" s="10">
        <f t="shared" si="8"/>
        <v>56898.98</v>
      </c>
      <c r="X27" s="10">
        <f t="shared" si="9"/>
        <v>41711</v>
      </c>
      <c r="Y27" s="11">
        <f t="shared" si="10"/>
        <v>37812.25</v>
      </c>
      <c r="Z27" s="11">
        <f t="shared" si="11"/>
        <v>34272</v>
      </c>
    </row>
    <row r="28" spans="1:26" x14ac:dyDescent="0.25">
      <c r="A28" s="6" t="s">
        <v>24</v>
      </c>
      <c r="B28" s="5"/>
      <c r="C28" s="3">
        <v>44067</v>
      </c>
      <c r="D28" s="3">
        <v>41900</v>
      </c>
      <c r="E28" s="3">
        <v>31900</v>
      </c>
      <c r="F28" s="3">
        <v>33900</v>
      </c>
      <c r="H28" s="2">
        <f t="shared" si="0"/>
        <v>52439.729999999996</v>
      </c>
      <c r="I28" s="2">
        <f t="shared" si="1"/>
        <v>49861</v>
      </c>
      <c r="J28" s="2">
        <f t="shared" si="2"/>
        <v>37961</v>
      </c>
      <c r="K28" s="2">
        <f t="shared" si="3"/>
        <v>40341</v>
      </c>
      <c r="M28" s="2">
        <v>17460</v>
      </c>
      <c r="N28" s="2">
        <v>45000</v>
      </c>
      <c r="O28" s="2">
        <v>107100</v>
      </c>
      <c r="P28" s="2">
        <v>226100</v>
      </c>
      <c r="R28" s="2">
        <f t="shared" si="4"/>
        <v>69899.73</v>
      </c>
      <c r="S28" s="2">
        <f t="shared" si="5"/>
        <v>643332</v>
      </c>
      <c r="T28" s="2">
        <f t="shared" si="12"/>
        <v>1929228</v>
      </c>
      <c r="U28" s="2">
        <f t="shared" si="6"/>
        <v>4260200</v>
      </c>
      <c r="W28" s="10">
        <f t="shared" si="8"/>
        <v>69899.73</v>
      </c>
      <c r="X28" s="10">
        <f t="shared" si="9"/>
        <v>53611</v>
      </c>
      <c r="Y28" s="11">
        <f t="shared" si="10"/>
        <v>40192.25</v>
      </c>
      <c r="Z28" s="11">
        <f t="shared" si="11"/>
        <v>42602</v>
      </c>
    </row>
    <row r="29" spans="1:26" x14ac:dyDescent="0.25">
      <c r="A29" s="6" t="s">
        <v>23</v>
      </c>
      <c r="B29" s="5"/>
      <c r="C29" s="3">
        <v>69278</v>
      </c>
      <c r="D29" s="3">
        <v>66500</v>
      </c>
      <c r="E29" s="3">
        <v>62600</v>
      </c>
      <c r="F29" s="3">
        <v>59900</v>
      </c>
      <c r="H29" s="2">
        <f t="shared" si="0"/>
        <v>82440.820000000007</v>
      </c>
      <c r="I29" s="2">
        <f t="shared" si="1"/>
        <v>79135</v>
      </c>
      <c r="J29" s="2">
        <f t="shared" si="2"/>
        <v>74494</v>
      </c>
      <c r="K29" s="2">
        <f t="shared" si="3"/>
        <v>71281</v>
      </c>
      <c r="M29" s="2">
        <v>17460</v>
      </c>
      <c r="N29" s="2">
        <v>80000</v>
      </c>
      <c r="O29" s="2">
        <v>297500</v>
      </c>
      <c r="P29" s="2">
        <v>499800</v>
      </c>
      <c r="R29" s="2">
        <f t="shared" si="4"/>
        <v>99900.82</v>
      </c>
      <c r="S29" s="2">
        <f t="shared" si="5"/>
        <v>1029620</v>
      </c>
      <c r="T29" s="2">
        <f t="shared" si="12"/>
        <v>3873212</v>
      </c>
      <c r="U29" s="2">
        <f t="shared" si="6"/>
        <v>7627900</v>
      </c>
      <c r="W29" s="10">
        <f t="shared" si="8"/>
        <v>99900.82</v>
      </c>
      <c r="X29" s="10">
        <f t="shared" si="9"/>
        <v>85801.666666666672</v>
      </c>
      <c r="Y29" s="11">
        <f t="shared" si="10"/>
        <v>80691.916666666672</v>
      </c>
      <c r="Z29" s="11">
        <f t="shared" si="11"/>
        <v>76279</v>
      </c>
    </row>
    <row r="30" spans="1:26" x14ac:dyDescent="0.25">
      <c r="A30" s="6" t="s">
        <v>22</v>
      </c>
      <c r="B30" s="5"/>
      <c r="C30" s="3">
        <v>27260</v>
      </c>
      <c r="D30" s="3">
        <v>25900</v>
      </c>
      <c r="E30" s="3">
        <v>21500</v>
      </c>
      <c r="F30" s="3">
        <v>18900</v>
      </c>
      <c r="H30" s="2">
        <f t="shared" si="0"/>
        <v>32439.4</v>
      </c>
      <c r="I30" s="2">
        <f t="shared" si="1"/>
        <v>30821</v>
      </c>
      <c r="J30" s="2">
        <f t="shared" si="2"/>
        <v>25585</v>
      </c>
      <c r="K30" s="2">
        <f t="shared" si="3"/>
        <v>22491</v>
      </c>
      <c r="M30" s="2">
        <v>17460</v>
      </c>
      <c r="N30" s="2">
        <v>30000</v>
      </c>
      <c r="O30" s="2">
        <v>57120</v>
      </c>
      <c r="P30" s="2">
        <v>154700</v>
      </c>
      <c r="R30" s="2">
        <f t="shared" si="4"/>
        <v>49899.4</v>
      </c>
      <c r="S30" s="2">
        <f t="shared" si="5"/>
        <v>399852</v>
      </c>
      <c r="T30" s="2">
        <f t="shared" si="12"/>
        <v>1285200</v>
      </c>
      <c r="U30" s="2">
        <f t="shared" si="6"/>
        <v>2403800</v>
      </c>
      <c r="W30" s="10">
        <f t="shared" si="8"/>
        <v>49899.4</v>
      </c>
      <c r="X30" s="10">
        <f t="shared" si="9"/>
        <v>33321</v>
      </c>
      <c r="Y30" s="11">
        <f t="shared" si="10"/>
        <v>26775</v>
      </c>
      <c r="Z30" s="11">
        <f t="shared" si="11"/>
        <v>24038</v>
      </c>
    </row>
    <row r="31" spans="1:26" x14ac:dyDescent="0.25">
      <c r="A31" s="6" t="s">
        <v>21</v>
      </c>
      <c r="B31" s="5"/>
      <c r="C31" s="3">
        <v>27260</v>
      </c>
      <c r="D31" s="3">
        <v>25900</v>
      </c>
      <c r="E31" s="3">
        <v>21500</v>
      </c>
      <c r="F31" s="3">
        <v>18900</v>
      </c>
      <c r="H31" s="2">
        <f t="shared" si="0"/>
        <v>32439.4</v>
      </c>
      <c r="I31" s="2">
        <f t="shared" si="1"/>
        <v>30821</v>
      </c>
      <c r="J31" s="2">
        <f t="shared" si="2"/>
        <v>25585</v>
      </c>
      <c r="K31" s="2">
        <f t="shared" si="3"/>
        <v>22491</v>
      </c>
      <c r="M31" s="2">
        <v>17460</v>
      </c>
      <c r="N31" s="2">
        <v>30000</v>
      </c>
      <c r="O31" s="2">
        <v>57120</v>
      </c>
      <c r="P31" s="2">
        <v>154700</v>
      </c>
      <c r="R31" s="2">
        <f t="shared" si="4"/>
        <v>49899.4</v>
      </c>
      <c r="S31" s="2">
        <f t="shared" si="5"/>
        <v>399852</v>
      </c>
      <c r="T31" s="2">
        <f t="shared" si="12"/>
        <v>1285200</v>
      </c>
      <c r="U31" s="2">
        <f t="shared" si="6"/>
        <v>2403800</v>
      </c>
      <c r="W31" s="10">
        <f t="shared" si="8"/>
        <v>49899.4</v>
      </c>
      <c r="X31" s="10">
        <f t="shared" si="9"/>
        <v>33321</v>
      </c>
      <c r="Y31" s="11">
        <f t="shared" si="10"/>
        <v>26775</v>
      </c>
      <c r="Z31" s="11">
        <f t="shared" si="11"/>
        <v>24038</v>
      </c>
    </row>
    <row r="32" spans="1:26" x14ac:dyDescent="0.25">
      <c r="A32" s="6" t="s">
        <v>20</v>
      </c>
      <c r="B32" s="5"/>
      <c r="C32" s="3">
        <v>23028</v>
      </c>
      <c r="D32" s="3">
        <v>20900</v>
      </c>
      <c r="E32" s="3">
        <v>18600</v>
      </c>
      <c r="F32" s="3">
        <v>14900</v>
      </c>
      <c r="H32" s="2">
        <f t="shared" si="0"/>
        <v>27403.32</v>
      </c>
      <c r="I32" s="2">
        <f t="shared" si="1"/>
        <v>24871</v>
      </c>
      <c r="J32" s="2">
        <f t="shared" si="2"/>
        <v>22134</v>
      </c>
      <c r="K32" s="2">
        <f t="shared" si="3"/>
        <v>17731</v>
      </c>
      <c r="M32" s="2">
        <v>17460</v>
      </c>
      <c r="N32" s="2">
        <v>24550</v>
      </c>
      <c r="O32" s="2">
        <v>41650</v>
      </c>
      <c r="P32" s="2">
        <v>74750</v>
      </c>
      <c r="R32" s="2">
        <f t="shared" si="4"/>
        <v>44863.32</v>
      </c>
      <c r="S32" s="2">
        <f t="shared" si="5"/>
        <v>323002</v>
      </c>
      <c r="T32" s="2">
        <f t="shared" si="12"/>
        <v>1104082</v>
      </c>
      <c r="U32" s="2">
        <f t="shared" si="6"/>
        <v>1847850</v>
      </c>
      <c r="W32" s="10">
        <f t="shared" si="8"/>
        <v>44863.32</v>
      </c>
      <c r="X32" s="10">
        <f t="shared" si="9"/>
        <v>26916.833333333332</v>
      </c>
      <c r="Y32" s="11">
        <f t="shared" si="10"/>
        <v>23001.708333333332</v>
      </c>
      <c r="Z32" s="11">
        <f t="shared" si="11"/>
        <v>18478.5</v>
      </c>
    </row>
    <row r="33" spans="1:26" x14ac:dyDescent="0.25">
      <c r="A33" s="6" t="s">
        <v>19</v>
      </c>
      <c r="B33" s="5"/>
      <c r="C33" s="3">
        <v>23028</v>
      </c>
      <c r="D33" s="3">
        <v>20900</v>
      </c>
      <c r="E33" s="3">
        <v>18600</v>
      </c>
      <c r="F33" s="3">
        <v>18900</v>
      </c>
      <c r="H33" s="2">
        <f t="shared" si="0"/>
        <v>27403.32</v>
      </c>
      <c r="I33" s="2">
        <f t="shared" si="1"/>
        <v>24871</v>
      </c>
      <c r="J33" s="2">
        <f t="shared" si="2"/>
        <v>22134</v>
      </c>
      <c r="K33" s="2">
        <f t="shared" si="3"/>
        <v>22491</v>
      </c>
      <c r="M33" s="2">
        <v>17460</v>
      </c>
      <c r="N33" s="2">
        <v>24550</v>
      </c>
      <c r="O33" s="2">
        <v>41650</v>
      </c>
      <c r="P33" s="2">
        <v>74750</v>
      </c>
      <c r="R33" s="2">
        <f t="shared" si="4"/>
        <v>44863.32</v>
      </c>
      <c r="S33" s="2">
        <f t="shared" si="5"/>
        <v>323002</v>
      </c>
      <c r="T33" s="2">
        <f t="shared" si="12"/>
        <v>1104082</v>
      </c>
      <c r="U33" s="2">
        <f t="shared" si="6"/>
        <v>2323850</v>
      </c>
      <c r="W33" s="10">
        <f t="shared" si="8"/>
        <v>44863.32</v>
      </c>
      <c r="X33" s="10">
        <f t="shared" si="9"/>
        <v>26916.833333333332</v>
      </c>
      <c r="Y33" s="11">
        <f t="shared" si="10"/>
        <v>23001.708333333332</v>
      </c>
      <c r="Z33" s="11">
        <f t="shared" si="11"/>
        <v>23238.5</v>
      </c>
    </row>
    <row r="34" spans="1:26" x14ac:dyDescent="0.25">
      <c r="A34" s="6" t="s">
        <v>18</v>
      </c>
      <c r="B34" s="5"/>
      <c r="C34" s="3">
        <v>13900</v>
      </c>
      <c r="D34" s="3">
        <v>13400</v>
      </c>
      <c r="E34" s="3">
        <v>12500</v>
      </c>
      <c r="F34" s="3">
        <v>11900</v>
      </c>
      <c r="H34" s="2">
        <f t="shared" si="0"/>
        <v>16541</v>
      </c>
      <c r="I34" s="2">
        <f t="shared" si="1"/>
        <v>15946</v>
      </c>
      <c r="J34" s="2">
        <f t="shared" si="2"/>
        <v>14875</v>
      </c>
      <c r="K34" s="2">
        <f t="shared" si="3"/>
        <v>14161</v>
      </c>
      <c r="M34" s="2">
        <v>17460</v>
      </c>
      <c r="N34" s="2">
        <v>23340</v>
      </c>
      <c r="O34" s="2">
        <v>45220</v>
      </c>
      <c r="P34" s="2">
        <v>53550</v>
      </c>
      <c r="R34" s="2">
        <f t="shared" si="4"/>
        <v>34001</v>
      </c>
      <c r="S34" s="2">
        <f t="shared" si="5"/>
        <v>214692</v>
      </c>
      <c r="T34" s="2">
        <f t="shared" si="12"/>
        <v>759220</v>
      </c>
      <c r="U34" s="2">
        <f t="shared" si="6"/>
        <v>1469650</v>
      </c>
      <c r="W34" s="10">
        <f t="shared" si="8"/>
        <v>34001</v>
      </c>
      <c r="X34" s="10">
        <f t="shared" si="9"/>
        <v>17891</v>
      </c>
      <c r="Y34" s="11">
        <f t="shared" si="10"/>
        <v>15817.083333333334</v>
      </c>
      <c r="Z34" s="11">
        <f t="shared" si="11"/>
        <v>14696.5</v>
      </c>
    </row>
    <row r="35" spans="1:26" x14ac:dyDescent="0.25">
      <c r="A35" s="6" t="s">
        <v>17</v>
      </c>
      <c r="B35" s="5"/>
      <c r="C35" s="3">
        <v>243695</v>
      </c>
      <c r="D35" s="3">
        <v>236900</v>
      </c>
      <c r="E35" s="3">
        <v>228500</v>
      </c>
      <c r="F35" s="3">
        <v>220000</v>
      </c>
      <c r="H35" s="2">
        <f t="shared" ref="H35:H53" si="13">((C35*19%)+C35)</f>
        <v>289997.05</v>
      </c>
      <c r="I35" s="2">
        <f t="shared" ref="I35:I54" si="14">((D35*19%)+D35)</f>
        <v>281911</v>
      </c>
      <c r="J35" s="2">
        <f t="shared" ref="J35:J54" si="15">((E35*19%)+E35)</f>
        <v>271915</v>
      </c>
      <c r="K35" s="2">
        <f t="shared" ref="K35:K54" si="16">((F35*19%)+F35)</f>
        <v>261800</v>
      </c>
      <c r="M35" s="2">
        <v>30000</v>
      </c>
      <c r="N35" s="2">
        <v>80000</v>
      </c>
      <c r="O35" s="2">
        <v>250000</v>
      </c>
      <c r="P35" s="2">
        <v>420000</v>
      </c>
      <c r="R35" s="2">
        <f t="shared" ref="R35:R52" si="17">H35+M35</f>
        <v>319997.05</v>
      </c>
      <c r="S35" s="2">
        <f t="shared" ref="S35:S52" si="18">((I35*12)+N35)</f>
        <v>3462932</v>
      </c>
      <c r="T35" s="2">
        <f t="shared" ref="T35:T52" si="19">((J35*48)+O35)</f>
        <v>13301920</v>
      </c>
      <c r="U35" s="2">
        <f t="shared" ref="U35:U52" si="20">((K35*100+P35))</f>
        <v>26600000</v>
      </c>
      <c r="W35" s="10">
        <f t="shared" si="8"/>
        <v>319997.05</v>
      </c>
      <c r="X35" s="10">
        <f t="shared" si="9"/>
        <v>288577.66666666669</v>
      </c>
      <c r="Y35" s="11">
        <f t="shared" si="10"/>
        <v>277123.33333333331</v>
      </c>
      <c r="Z35" s="11">
        <f t="shared" si="11"/>
        <v>266000</v>
      </c>
    </row>
    <row r="36" spans="1:26" x14ac:dyDescent="0.25">
      <c r="A36" s="6" t="s">
        <v>16</v>
      </c>
      <c r="B36" s="5"/>
      <c r="C36" s="3">
        <v>82722</v>
      </c>
      <c r="D36" s="3">
        <v>79800</v>
      </c>
      <c r="E36" s="3">
        <v>74900</v>
      </c>
      <c r="F36" s="3">
        <v>69900</v>
      </c>
      <c r="H36" s="2">
        <f t="shared" si="13"/>
        <v>98439.18</v>
      </c>
      <c r="I36" s="2">
        <f t="shared" si="14"/>
        <v>94962</v>
      </c>
      <c r="J36" s="2">
        <f t="shared" si="15"/>
        <v>89131</v>
      </c>
      <c r="K36" s="2">
        <f t="shared" si="16"/>
        <v>83181</v>
      </c>
      <c r="M36" s="2">
        <v>17460</v>
      </c>
      <c r="N36" s="2">
        <v>30000</v>
      </c>
      <c r="O36" s="2">
        <v>83300</v>
      </c>
      <c r="P36" s="2">
        <v>297500</v>
      </c>
      <c r="R36" s="2">
        <f t="shared" si="17"/>
        <v>115899.18</v>
      </c>
      <c r="S36" s="2">
        <f t="shared" si="18"/>
        <v>1169544</v>
      </c>
      <c r="T36" s="2">
        <f t="shared" si="19"/>
        <v>4361588</v>
      </c>
      <c r="U36" s="2">
        <f t="shared" si="20"/>
        <v>8615600</v>
      </c>
      <c r="W36" s="10">
        <f t="shared" si="8"/>
        <v>115899.18</v>
      </c>
      <c r="X36" s="10">
        <f t="shared" si="9"/>
        <v>97462</v>
      </c>
      <c r="Y36" s="11">
        <f t="shared" si="10"/>
        <v>90866.416666666672</v>
      </c>
      <c r="Z36" s="11">
        <f t="shared" si="11"/>
        <v>86156</v>
      </c>
    </row>
    <row r="37" spans="1:26" x14ac:dyDescent="0.25">
      <c r="A37" s="6" t="s">
        <v>15</v>
      </c>
      <c r="B37" s="5"/>
      <c r="C37" s="3">
        <v>89450</v>
      </c>
      <c r="D37" s="3">
        <v>82500</v>
      </c>
      <c r="E37" s="3">
        <v>79800</v>
      </c>
      <c r="F37" s="3">
        <v>69900</v>
      </c>
      <c r="H37" s="2">
        <f t="shared" si="13"/>
        <v>106445.5</v>
      </c>
      <c r="I37" s="2">
        <f t="shared" si="14"/>
        <v>98175</v>
      </c>
      <c r="J37" s="2">
        <f t="shared" si="15"/>
        <v>94962</v>
      </c>
      <c r="K37" s="2">
        <f t="shared" si="16"/>
        <v>83181</v>
      </c>
      <c r="M37" s="2">
        <v>17460</v>
      </c>
      <c r="N37" s="2">
        <v>30000</v>
      </c>
      <c r="O37" s="2">
        <v>83300</v>
      </c>
      <c r="P37" s="2">
        <v>297500</v>
      </c>
      <c r="R37" s="2">
        <f t="shared" si="17"/>
        <v>123905.5</v>
      </c>
      <c r="S37" s="2">
        <f t="shared" si="18"/>
        <v>1208100</v>
      </c>
      <c r="T37" s="2">
        <f t="shared" si="19"/>
        <v>4641476</v>
      </c>
      <c r="U37" s="2">
        <f t="shared" si="20"/>
        <v>8615600</v>
      </c>
      <c r="W37" s="10">
        <f t="shared" si="8"/>
        <v>123905.5</v>
      </c>
      <c r="X37" s="10">
        <f t="shared" si="9"/>
        <v>100675</v>
      </c>
      <c r="Y37" s="11">
        <f t="shared" si="10"/>
        <v>96697.416666666672</v>
      </c>
      <c r="Z37" s="11">
        <f t="shared" si="11"/>
        <v>86156</v>
      </c>
    </row>
    <row r="38" spans="1:26" x14ac:dyDescent="0.25">
      <c r="A38" s="6" t="s">
        <v>14</v>
      </c>
      <c r="B38" s="5"/>
      <c r="C38" s="3">
        <v>88950</v>
      </c>
      <c r="D38" s="3">
        <v>86500</v>
      </c>
      <c r="E38" s="3">
        <v>82500</v>
      </c>
      <c r="F38" s="3">
        <v>79900</v>
      </c>
      <c r="H38" s="2">
        <f t="shared" si="13"/>
        <v>105850.5</v>
      </c>
      <c r="I38" s="2">
        <f t="shared" si="14"/>
        <v>102935</v>
      </c>
      <c r="J38" s="2">
        <f t="shared" si="15"/>
        <v>98175</v>
      </c>
      <c r="K38" s="2">
        <f t="shared" si="16"/>
        <v>95081</v>
      </c>
      <c r="M38" s="2">
        <v>17460</v>
      </c>
      <c r="N38" s="2">
        <v>45000</v>
      </c>
      <c r="O38" s="2">
        <v>103500</v>
      </c>
      <c r="P38" s="2">
        <v>149500</v>
      </c>
      <c r="R38" s="2">
        <f t="shared" si="17"/>
        <v>123310.5</v>
      </c>
      <c r="S38" s="2">
        <f t="shared" si="18"/>
        <v>1280220</v>
      </c>
      <c r="T38" s="2">
        <f t="shared" si="19"/>
        <v>4815900</v>
      </c>
      <c r="U38" s="2">
        <f t="shared" si="20"/>
        <v>9657600</v>
      </c>
      <c r="W38" s="10">
        <f t="shared" si="8"/>
        <v>123310.5</v>
      </c>
      <c r="X38" s="10">
        <f t="shared" si="9"/>
        <v>106685</v>
      </c>
      <c r="Y38" s="11">
        <f t="shared" si="10"/>
        <v>100331.25</v>
      </c>
      <c r="Z38" s="11">
        <f t="shared" si="11"/>
        <v>96576</v>
      </c>
    </row>
    <row r="39" spans="1:26" x14ac:dyDescent="0.25">
      <c r="A39" s="6" t="s">
        <v>13</v>
      </c>
      <c r="B39" s="5"/>
      <c r="C39" s="3">
        <v>82722</v>
      </c>
      <c r="D39" s="3">
        <v>79800</v>
      </c>
      <c r="E39" s="3">
        <v>74900</v>
      </c>
      <c r="F39" s="3">
        <v>69900</v>
      </c>
      <c r="H39" s="2">
        <f t="shared" si="13"/>
        <v>98439.18</v>
      </c>
      <c r="I39" s="2">
        <f t="shared" si="14"/>
        <v>94962</v>
      </c>
      <c r="J39" s="2">
        <f t="shared" si="15"/>
        <v>89131</v>
      </c>
      <c r="K39" s="2">
        <f t="shared" si="16"/>
        <v>83181</v>
      </c>
      <c r="M39" s="2">
        <v>17460</v>
      </c>
      <c r="N39" s="2">
        <v>30000</v>
      </c>
      <c r="O39" s="2">
        <v>80500</v>
      </c>
      <c r="P39" s="2">
        <v>287500</v>
      </c>
      <c r="R39" s="2">
        <f t="shared" si="17"/>
        <v>115899.18</v>
      </c>
      <c r="S39" s="2">
        <f t="shared" si="18"/>
        <v>1169544</v>
      </c>
      <c r="T39" s="2">
        <f t="shared" si="19"/>
        <v>4358788</v>
      </c>
      <c r="U39" s="2">
        <f t="shared" si="20"/>
        <v>8605600</v>
      </c>
      <c r="W39" s="10">
        <f t="shared" si="8"/>
        <v>115899.18</v>
      </c>
      <c r="X39" s="10">
        <f t="shared" si="9"/>
        <v>97462</v>
      </c>
      <c r="Y39" s="11">
        <f t="shared" si="10"/>
        <v>90808.083333333328</v>
      </c>
      <c r="Z39" s="11">
        <f t="shared" si="11"/>
        <v>86056</v>
      </c>
    </row>
    <row r="40" spans="1:26" x14ac:dyDescent="0.25">
      <c r="A40" s="6" t="s">
        <v>12</v>
      </c>
      <c r="B40" s="5"/>
      <c r="C40" s="3">
        <v>88950</v>
      </c>
      <c r="D40" s="3">
        <v>86500</v>
      </c>
      <c r="E40" s="3">
        <v>82500</v>
      </c>
      <c r="F40" s="3">
        <v>79900</v>
      </c>
      <c r="H40" s="2">
        <f t="shared" si="13"/>
        <v>105850.5</v>
      </c>
      <c r="I40" s="2">
        <f t="shared" si="14"/>
        <v>102935</v>
      </c>
      <c r="J40" s="2">
        <f t="shared" si="15"/>
        <v>98175</v>
      </c>
      <c r="K40" s="2">
        <f t="shared" si="16"/>
        <v>95081</v>
      </c>
      <c r="M40" s="2">
        <v>17460</v>
      </c>
      <c r="N40" s="2">
        <v>30000</v>
      </c>
      <c r="O40" s="2">
        <v>80500</v>
      </c>
      <c r="P40" s="2">
        <v>287500</v>
      </c>
      <c r="R40" s="2">
        <f t="shared" si="17"/>
        <v>123310.5</v>
      </c>
      <c r="S40" s="2">
        <f t="shared" si="18"/>
        <v>1265220</v>
      </c>
      <c r="T40" s="2">
        <f t="shared" si="19"/>
        <v>4792900</v>
      </c>
      <c r="U40" s="2">
        <f t="shared" si="20"/>
        <v>9795600</v>
      </c>
      <c r="W40" s="10">
        <f t="shared" si="8"/>
        <v>123310.5</v>
      </c>
      <c r="X40" s="10">
        <f t="shared" si="9"/>
        <v>105435</v>
      </c>
      <c r="Y40" s="11">
        <f t="shared" si="10"/>
        <v>99852.083333333328</v>
      </c>
      <c r="Z40" s="11">
        <f t="shared" si="11"/>
        <v>97956</v>
      </c>
    </row>
    <row r="41" spans="1:26" x14ac:dyDescent="0.25">
      <c r="A41" s="6" t="s">
        <v>11</v>
      </c>
      <c r="B41" s="5"/>
      <c r="C41" s="3">
        <v>66850</v>
      </c>
      <c r="D41" s="3">
        <v>64800</v>
      </c>
      <c r="E41" s="3">
        <v>62500</v>
      </c>
      <c r="F41" s="3">
        <v>59900</v>
      </c>
      <c r="H41" s="2">
        <f t="shared" si="13"/>
        <v>79551.5</v>
      </c>
      <c r="I41" s="2">
        <f t="shared" si="14"/>
        <v>77112</v>
      </c>
      <c r="J41" s="2">
        <f t="shared" si="15"/>
        <v>74375</v>
      </c>
      <c r="K41" s="2">
        <f t="shared" si="16"/>
        <v>71281</v>
      </c>
      <c r="M41" s="2">
        <v>17460</v>
      </c>
      <c r="N41" s="2">
        <v>30000</v>
      </c>
      <c r="O41" s="2">
        <v>80500</v>
      </c>
      <c r="P41" s="2">
        <v>287500</v>
      </c>
      <c r="R41" s="2">
        <f t="shared" si="17"/>
        <v>97011.5</v>
      </c>
      <c r="S41" s="2">
        <f t="shared" si="18"/>
        <v>955344</v>
      </c>
      <c r="T41" s="2">
        <f t="shared" si="19"/>
        <v>3650500</v>
      </c>
      <c r="U41" s="2">
        <f t="shared" si="20"/>
        <v>7415600</v>
      </c>
      <c r="W41" s="10">
        <f t="shared" si="8"/>
        <v>97011.5</v>
      </c>
      <c r="X41" s="10">
        <f t="shared" si="9"/>
        <v>79612</v>
      </c>
      <c r="Y41" s="11">
        <f t="shared" si="10"/>
        <v>76052.083333333328</v>
      </c>
      <c r="Z41" s="11">
        <f t="shared" si="11"/>
        <v>74156</v>
      </c>
    </row>
    <row r="42" spans="1:26" x14ac:dyDescent="0.25">
      <c r="A42" s="6" t="s">
        <v>10</v>
      </c>
      <c r="B42" s="5"/>
      <c r="C42" s="3">
        <v>222900</v>
      </c>
      <c r="D42" s="3">
        <v>218900</v>
      </c>
      <c r="E42" s="3">
        <v>212560</v>
      </c>
      <c r="F42" s="3">
        <v>204900</v>
      </c>
      <c r="H42" s="2">
        <f t="shared" si="13"/>
        <v>265251</v>
      </c>
      <c r="I42" s="2">
        <f t="shared" si="14"/>
        <v>260491</v>
      </c>
      <c r="J42" s="2">
        <f t="shared" si="15"/>
        <v>252946.4</v>
      </c>
      <c r="K42" s="2">
        <f t="shared" si="16"/>
        <v>243831</v>
      </c>
      <c r="M42" s="2">
        <v>23340</v>
      </c>
      <c r="N42" s="2">
        <v>120000</v>
      </c>
      <c r="O42" s="2">
        <v>552000</v>
      </c>
      <c r="P42" s="2">
        <v>1015000</v>
      </c>
      <c r="R42" s="2">
        <f t="shared" si="17"/>
        <v>288591</v>
      </c>
      <c r="S42" s="2">
        <f t="shared" si="18"/>
        <v>3245892</v>
      </c>
      <c r="T42" s="2">
        <f t="shared" si="19"/>
        <v>12693427.199999999</v>
      </c>
      <c r="U42" s="2">
        <f t="shared" si="20"/>
        <v>25398100</v>
      </c>
      <c r="W42" s="10">
        <f t="shared" si="8"/>
        <v>288591</v>
      </c>
      <c r="X42" s="10">
        <f t="shared" si="9"/>
        <v>270491</v>
      </c>
      <c r="Y42" s="11">
        <f t="shared" si="10"/>
        <v>264446.39999999997</v>
      </c>
      <c r="Z42" s="11">
        <f t="shared" si="11"/>
        <v>253981</v>
      </c>
    </row>
    <row r="43" spans="1:26" x14ac:dyDescent="0.25">
      <c r="A43" s="6" t="s">
        <v>9</v>
      </c>
      <c r="B43" s="5"/>
      <c r="C43" s="3">
        <v>150900</v>
      </c>
      <c r="D43" s="3">
        <v>148900</v>
      </c>
      <c r="E43" s="3">
        <v>140252</v>
      </c>
      <c r="F43" s="3">
        <v>144900</v>
      </c>
      <c r="H43" s="2">
        <f t="shared" si="13"/>
        <v>179571</v>
      </c>
      <c r="I43" s="2">
        <f t="shared" si="14"/>
        <v>177191</v>
      </c>
      <c r="J43" s="2">
        <f t="shared" si="15"/>
        <v>166899.88</v>
      </c>
      <c r="K43" s="2">
        <f t="shared" si="16"/>
        <v>172431</v>
      </c>
      <c r="M43" s="2">
        <v>23340</v>
      </c>
      <c r="N43" s="2">
        <v>120000</v>
      </c>
      <c r="O43" s="2">
        <v>552000</v>
      </c>
      <c r="P43" s="2">
        <v>1015000</v>
      </c>
      <c r="R43" s="2">
        <f t="shared" si="17"/>
        <v>202911</v>
      </c>
      <c r="S43" s="2">
        <f t="shared" si="18"/>
        <v>2246292</v>
      </c>
      <c r="T43" s="2">
        <f t="shared" si="19"/>
        <v>8563194.2400000002</v>
      </c>
      <c r="U43" s="2">
        <f t="shared" si="20"/>
        <v>18258100</v>
      </c>
      <c r="W43" s="10">
        <f t="shared" si="8"/>
        <v>202911</v>
      </c>
      <c r="X43" s="10">
        <f t="shared" si="9"/>
        <v>187191</v>
      </c>
      <c r="Y43" s="11">
        <f t="shared" si="10"/>
        <v>178399.88</v>
      </c>
      <c r="Z43" s="11">
        <f t="shared" si="11"/>
        <v>182581</v>
      </c>
    </row>
    <row r="44" spans="1:26" x14ac:dyDescent="0.25">
      <c r="A44" s="6" t="s">
        <v>8</v>
      </c>
      <c r="B44" s="5"/>
      <c r="C44" s="3">
        <v>254900</v>
      </c>
      <c r="D44" s="3">
        <v>246500</v>
      </c>
      <c r="E44" s="3">
        <v>242900</v>
      </c>
      <c r="F44" s="3">
        <v>239900</v>
      </c>
      <c r="H44" s="2">
        <f t="shared" si="13"/>
        <v>303331</v>
      </c>
      <c r="I44" s="2">
        <f t="shared" si="14"/>
        <v>293335</v>
      </c>
      <c r="J44" s="2">
        <f t="shared" si="15"/>
        <v>289051</v>
      </c>
      <c r="K44" s="2">
        <f t="shared" si="16"/>
        <v>285481</v>
      </c>
      <c r="M44" s="2">
        <v>23340</v>
      </c>
      <c r="N44" s="2">
        <v>120000</v>
      </c>
      <c r="O44" s="2">
        <v>552000</v>
      </c>
      <c r="P44" s="2">
        <v>1015000</v>
      </c>
      <c r="R44" s="2">
        <f t="shared" si="17"/>
        <v>326671</v>
      </c>
      <c r="S44" s="2">
        <f t="shared" si="18"/>
        <v>3640020</v>
      </c>
      <c r="T44" s="2">
        <f t="shared" si="19"/>
        <v>14426448</v>
      </c>
      <c r="U44" s="2">
        <f t="shared" si="20"/>
        <v>29563100</v>
      </c>
      <c r="W44" s="10">
        <f t="shared" si="8"/>
        <v>326671</v>
      </c>
      <c r="X44" s="10">
        <f t="shared" si="9"/>
        <v>303335</v>
      </c>
      <c r="Y44" s="11">
        <f t="shared" si="10"/>
        <v>300551</v>
      </c>
      <c r="Z44" s="11">
        <f t="shared" si="11"/>
        <v>295631</v>
      </c>
    </row>
    <row r="45" spans="1:26" x14ac:dyDescent="0.25">
      <c r="A45" s="6" t="s">
        <v>7</v>
      </c>
      <c r="B45" s="5"/>
      <c r="C45" s="3">
        <v>69278</v>
      </c>
      <c r="D45" s="3">
        <v>66500</v>
      </c>
      <c r="E45" s="3">
        <v>62600</v>
      </c>
      <c r="F45" s="3">
        <v>59900</v>
      </c>
      <c r="H45" s="2">
        <f t="shared" si="13"/>
        <v>82440.820000000007</v>
      </c>
      <c r="I45" s="2">
        <f t="shared" si="14"/>
        <v>79135</v>
      </c>
      <c r="J45" s="2">
        <f t="shared" si="15"/>
        <v>74494</v>
      </c>
      <c r="K45" s="2">
        <f t="shared" si="16"/>
        <v>71281</v>
      </c>
      <c r="M45" s="2">
        <v>17460</v>
      </c>
      <c r="N45" s="2">
        <v>23340</v>
      </c>
      <c r="O45" s="2">
        <v>51750</v>
      </c>
      <c r="P45" s="2">
        <v>74750</v>
      </c>
      <c r="R45" s="2">
        <f t="shared" si="17"/>
        <v>99900.82</v>
      </c>
      <c r="S45" s="2">
        <f t="shared" si="18"/>
        <v>972960</v>
      </c>
      <c r="T45" s="2">
        <f t="shared" si="19"/>
        <v>3627462</v>
      </c>
      <c r="U45" s="2">
        <f t="shared" si="20"/>
        <v>7202850</v>
      </c>
      <c r="W45" s="10">
        <f t="shared" si="8"/>
        <v>99900.82</v>
      </c>
      <c r="X45" s="10">
        <f t="shared" si="9"/>
        <v>81080</v>
      </c>
      <c r="Y45" s="11">
        <f t="shared" si="10"/>
        <v>75572.125</v>
      </c>
      <c r="Z45" s="11">
        <f t="shared" si="11"/>
        <v>72028.5</v>
      </c>
    </row>
    <row r="46" spans="1:26" x14ac:dyDescent="0.25">
      <c r="A46" s="9" t="s">
        <v>6</v>
      </c>
      <c r="B46" s="4"/>
      <c r="C46" s="3">
        <v>65915</v>
      </c>
      <c r="D46" s="3">
        <v>63900</v>
      </c>
      <c r="E46" s="3">
        <v>61500</v>
      </c>
      <c r="F46" s="3">
        <v>59900</v>
      </c>
      <c r="H46" s="2">
        <f t="shared" si="13"/>
        <v>78438.850000000006</v>
      </c>
      <c r="I46" s="2">
        <f t="shared" si="14"/>
        <v>76041</v>
      </c>
      <c r="J46" s="2">
        <f t="shared" si="15"/>
        <v>73185</v>
      </c>
      <c r="K46" s="2">
        <f t="shared" si="16"/>
        <v>71281</v>
      </c>
      <c r="M46" s="2">
        <v>17460</v>
      </c>
      <c r="N46" s="2">
        <v>23340</v>
      </c>
      <c r="O46" s="2">
        <v>51750</v>
      </c>
      <c r="P46" s="2">
        <v>74750</v>
      </c>
      <c r="R46" s="2">
        <f t="shared" si="17"/>
        <v>95898.85</v>
      </c>
      <c r="S46" s="2">
        <f t="shared" si="18"/>
        <v>935832</v>
      </c>
      <c r="T46" s="2">
        <f t="shared" si="19"/>
        <v>3564630</v>
      </c>
      <c r="U46" s="2">
        <f t="shared" si="20"/>
        <v>7202850</v>
      </c>
      <c r="W46" s="10">
        <f t="shared" si="8"/>
        <v>95898.85</v>
      </c>
      <c r="X46" s="10">
        <f t="shared" si="9"/>
        <v>77986</v>
      </c>
      <c r="Y46" s="11">
        <f t="shared" si="10"/>
        <v>74263.125</v>
      </c>
      <c r="Z46" s="11">
        <f t="shared" si="11"/>
        <v>72028.5</v>
      </c>
    </row>
    <row r="47" spans="1:26" x14ac:dyDescent="0.25">
      <c r="A47" s="9" t="s">
        <v>5</v>
      </c>
      <c r="B47" s="4"/>
      <c r="C47" s="3">
        <v>112500</v>
      </c>
      <c r="D47" s="3">
        <v>108900</v>
      </c>
      <c r="E47" s="3">
        <v>104500</v>
      </c>
      <c r="F47" s="3">
        <v>99900</v>
      </c>
      <c r="H47" s="2">
        <f t="shared" si="13"/>
        <v>133875</v>
      </c>
      <c r="I47" s="2">
        <f t="shared" si="14"/>
        <v>129591</v>
      </c>
      <c r="J47" s="2">
        <f t="shared" si="15"/>
        <v>124355</v>
      </c>
      <c r="K47" s="2">
        <f t="shared" si="16"/>
        <v>118881</v>
      </c>
      <c r="M47" s="2">
        <v>17460</v>
      </c>
      <c r="N47" s="2">
        <v>23340</v>
      </c>
      <c r="O47" s="2">
        <v>51750</v>
      </c>
      <c r="P47" s="2">
        <v>74750</v>
      </c>
      <c r="R47" s="2">
        <f t="shared" si="17"/>
        <v>151335</v>
      </c>
      <c r="S47" s="2">
        <f t="shared" si="18"/>
        <v>1578432</v>
      </c>
      <c r="T47" s="2">
        <f t="shared" si="19"/>
        <v>6020790</v>
      </c>
      <c r="U47" s="2">
        <f t="shared" si="20"/>
        <v>11962850</v>
      </c>
      <c r="W47" s="10">
        <f t="shared" si="8"/>
        <v>151335</v>
      </c>
      <c r="X47" s="10">
        <f t="shared" si="9"/>
        <v>131536</v>
      </c>
      <c r="Y47" s="11">
        <f t="shared" si="10"/>
        <v>125433.125</v>
      </c>
      <c r="Z47" s="11">
        <f t="shared" si="11"/>
        <v>119628.5</v>
      </c>
    </row>
    <row r="48" spans="1:26" x14ac:dyDescent="0.25">
      <c r="A48" s="9" t="s">
        <v>4</v>
      </c>
      <c r="B48" s="4"/>
      <c r="C48" s="3">
        <v>89900</v>
      </c>
      <c r="D48" s="3">
        <v>84500</v>
      </c>
      <c r="E48" s="3">
        <v>80100</v>
      </c>
      <c r="F48" s="3">
        <v>74900</v>
      </c>
      <c r="H48" s="2">
        <f t="shared" si="13"/>
        <v>106981</v>
      </c>
      <c r="I48" s="2">
        <f t="shared" si="14"/>
        <v>100555</v>
      </c>
      <c r="J48" s="2">
        <f t="shared" si="15"/>
        <v>95319</v>
      </c>
      <c r="K48" s="2">
        <f t="shared" si="16"/>
        <v>89131</v>
      </c>
      <c r="M48" s="2">
        <v>17460</v>
      </c>
      <c r="N48" s="2">
        <v>23340</v>
      </c>
      <c r="O48" s="2">
        <v>51750</v>
      </c>
      <c r="P48" s="2">
        <v>74750</v>
      </c>
      <c r="R48" s="2">
        <f t="shared" si="17"/>
        <v>124441</v>
      </c>
      <c r="S48" s="2">
        <f t="shared" si="18"/>
        <v>1230000</v>
      </c>
      <c r="T48" s="2">
        <f t="shared" si="19"/>
        <v>4627062</v>
      </c>
      <c r="U48" s="2">
        <f t="shared" si="20"/>
        <v>8987850</v>
      </c>
      <c r="W48" s="10">
        <f t="shared" si="8"/>
        <v>124441</v>
      </c>
      <c r="X48" s="10">
        <f t="shared" si="9"/>
        <v>102500</v>
      </c>
      <c r="Y48" s="11">
        <f t="shared" si="10"/>
        <v>96397.125</v>
      </c>
      <c r="Z48" s="11">
        <f t="shared" si="11"/>
        <v>89878.5</v>
      </c>
    </row>
    <row r="49" spans="1:26" x14ac:dyDescent="0.25">
      <c r="A49" s="9" t="s">
        <v>3</v>
      </c>
      <c r="B49" s="4"/>
      <c r="C49" s="3">
        <v>102500</v>
      </c>
      <c r="D49" s="3">
        <v>98900</v>
      </c>
      <c r="E49" s="3">
        <v>94500</v>
      </c>
      <c r="F49" s="3">
        <v>89900</v>
      </c>
      <c r="H49" s="2">
        <f t="shared" si="13"/>
        <v>121975</v>
      </c>
      <c r="I49" s="2">
        <f t="shared" si="14"/>
        <v>117691</v>
      </c>
      <c r="J49" s="2">
        <f t="shared" si="15"/>
        <v>112455</v>
      </c>
      <c r="K49" s="2">
        <f t="shared" si="16"/>
        <v>106981</v>
      </c>
      <c r="M49" s="2">
        <v>17460</v>
      </c>
      <c r="N49" s="2">
        <v>23340</v>
      </c>
      <c r="O49" s="2">
        <v>51750</v>
      </c>
      <c r="P49" s="2">
        <v>74750</v>
      </c>
      <c r="R49" s="2">
        <f t="shared" si="17"/>
        <v>139435</v>
      </c>
      <c r="S49" s="2">
        <f t="shared" si="18"/>
        <v>1435632</v>
      </c>
      <c r="T49" s="2">
        <f t="shared" si="19"/>
        <v>5449590</v>
      </c>
      <c r="U49" s="2">
        <f>((K49*100+P49))</f>
        <v>10772850</v>
      </c>
      <c r="W49" s="10">
        <f t="shared" si="8"/>
        <v>139435</v>
      </c>
      <c r="X49" s="10">
        <f t="shared" si="9"/>
        <v>119636</v>
      </c>
      <c r="Y49" s="11">
        <f t="shared" si="10"/>
        <v>113533.125</v>
      </c>
      <c r="Z49" s="11">
        <f t="shared" si="11"/>
        <v>107728.5</v>
      </c>
    </row>
    <row r="50" spans="1:26" x14ac:dyDescent="0.25">
      <c r="A50" s="9" t="s">
        <v>2</v>
      </c>
      <c r="B50" s="4"/>
      <c r="C50" s="3">
        <v>102500</v>
      </c>
      <c r="D50" s="3">
        <v>98900</v>
      </c>
      <c r="E50" s="3">
        <v>94500</v>
      </c>
      <c r="F50" s="3">
        <v>84900</v>
      </c>
      <c r="H50" s="2">
        <f t="shared" si="13"/>
        <v>121975</v>
      </c>
      <c r="I50" s="2">
        <f t="shared" si="14"/>
        <v>117691</v>
      </c>
      <c r="J50" s="2">
        <f t="shared" si="15"/>
        <v>112455</v>
      </c>
      <c r="K50" s="2">
        <f t="shared" si="16"/>
        <v>101031</v>
      </c>
      <c r="M50" s="2">
        <v>17460</v>
      </c>
      <c r="N50" s="2">
        <v>23340</v>
      </c>
      <c r="O50" s="2">
        <v>51750</v>
      </c>
      <c r="P50" s="2">
        <v>142800</v>
      </c>
      <c r="R50" s="2">
        <f t="shared" si="17"/>
        <v>139435</v>
      </c>
      <c r="S50" s="2">
        <f t="shared" si="18"/>
        <v>1435632</v>
      </c>
      <c r="T50" s="2">
        <f t="shared" si="19"/>
        <v>5449590</v>
      </c>
      <c r="U50" s="2">
        <f>((K50*100)+P50)</f>
        <v>10245900</v>
      </c>
      <c r="W50" s="10">
        <f t="shared" si="8"/>
        <v>139435</v>
      </c>
      <c r="X50" s="10">
        <f t="shared" si="9"/>
        <v>119636</v>
      </c>
      <c r="Y50" s="11">
        <f t="shared" si="10"/>
        <v>113533.125</v>
      </c>
      <c r="Z50" s="11">
        <f t="shared" si="11"/>
        <v>102459</v>
      </c>
    </row>
    <row r="51" spans="1:26" x14ac:dyDescent="0.25">
      <c r="A51" s="9" t="s">
        <v>1</v>
      </c>
      <c r="B51" s="4"/>
      <c r="C51" s="3">
        <v>92650</v>
      </c>
      <c r="D51" s="3">
        <v>87500</v>
      </c>
      <c r="E51" s="3">
        <v>84900</v>
      </c>
      <c r="F51" s="3">
        <v>79900</v>
      </c>
      <c r="H51" s="2">
        <f t="shared" si="13"/>
        <v>110253.5</v>
      </c>
      <c r="I51" s="2">
        <f t="shared" si="14"/>
        <v>104125</v>
      </c>
      <c r="J51" s="2">
        <f t="shared" si="15"/>
        <v>101031</v>
      </c>
      <c r="K51" s="2">
        <f t="shared" si="16"/>
        <v>95081</v>
      </c>
      <c r="M51" s="2">
        <v>17460</v>
      </c>
      <c r="N51" s="2">
        <v>23340</v>
      </c>
      <c r="O51" s="2">
        <v>51750</v>
      </c>
      <c r="P51" s="2">
        <v>142800</v>
      </c>
      <c r="R51" s="2">
        <f t="shared" si="17"/>
        <v>127713.5</v>
      </c>
      <c r="S51" s="2">
        <f t="shared" si="18"/>
        <v>1272840</v>
      </c>
      <c r="T51" s="2">
        <f t="shared" si="19"/>
        <v>4901238</v>
      </c>
      <c r="U51" s="2">
        <f>((K51*100+P50))</f>
        <v>9650900</v>
      </c>
      <c r="W51" s="10">
        <f t="shared" si="8"/>
        <v>127713.5</v>
      </c>
      <c r="X51" s="10">
        <f t="shared" si="9"/>
        <v>106070</v>
      </c>
      <c r="Y51" s="11">
        <f t="shared" si="10"/>
        <v>102109.125</v>
      </c>
      <c r="Z51" s="11">
        <f t="shared" si="11"/>
        <v>96509</v>
      </c>
    </row>
    <row r="52" spans="1:26" x14ac:dyDescent="0.25">
      <c r="A52" s="9" t="s">
        <v>0</v>
      </c>
      <c r="B52" s="4"/>
      <c r="C52" s="3">
        <v>895600</v>
      </c>
      <c r="D52" s="3">
        <v>884900</v>
      </c>
      <c r="E52" s="3">
        <v>871600</v>
      </c>
      <c r="F52" s="3">
        <v>850000</v>
      </c>
      <c r="H52" s="2">
        <f t="shared" si="13"/>
        <v>1065764</v>
      </c>
      <c r="I52" s="2">
        <f t="shared" si="14"/>
        <v>1053031</v>
      </c>
      <c r="J52" s="2">
        <f t="shared" si="15"/>
        <v>1037204</v>
      </c>
      <c r="K52" s="2">
        <f t="shared" si="16"/>
        <v>1011500</v>
      </c>
      <c r="M52" s="2">
        <v>23340</v>
      </c>
      <c r="N52" s="2">
        <v>120000</v>
      </c>
      <c r="O52" s="2">
        <v>552000</v>
      </c>
      <c r="P52" s="2">
        <v>1015000</v>
      </c>
      <c r="R52" s="2">
        <f>H52+M52</f>
        <v>1089104</v>
      </c>
      <c r="S52" s="2">
        <f t="shared" si="18"/>
        <v>12756372</v>
      </c>
      <c r="T52" s="2">
        <f t="shared" si="19"/>
        <v>50337792</v>
      </c>
      <c r="U52" s="2">
        <f t="shared" si="20"/>
        <v>102165000</v>
      </c>
      <c r="W52" s="10">
        <f>R52</f>
        <v>1089104</v>
      </c>
      <c r="X52" s="10">
        <f>S52/12</f>
        <v>1063031</v>
      </c>
      <c r="Y52" s="11">
        <f t="shared" si="10"/>
        <v>1048704</v>
      </c>
      <c r="Z52" s="11">
        <f t="shared" si="11"/>
        <v>1021650</v>
      </c>
    </row>
    <row r="53" spans="1:26" x14ac:dyDescent="0.25">
      <c r="A53" s="21" t="s">
        <v>55</v>
      </c>
      <c r="C53" s="22">
        <v>31443</v>
      </c>
      <c r="D53" s="22">
        <v>27800</v>
      </c>
      <c r="E53" s="22">
        <v>24800</v>
      </c>
      <c r="F53" s="22">
        <v>19900</v>
      </c>
      <c r="H53" s="23">
        <f t="shared" si="13"/>
        <v>37417.17</v>
      </c>
      <c r="I53" s="23">
        <f t="shared" si="14"/>
        <v>33082</v>
      </c>
      <c r="J53" s="23">
        <f t="shared" si="15"/>
        <v>29512</v>
      </c>
      <c r="K53" s="23">
        <f t="shared" si="16"/>
        <v>23681</v>
      </c>
      <c r="M53" s="2">
        <v>17460</v>
      </c>
      <c r="N53" s="2">
        <v>23340</v>
      </c>
      <c r="O53" s="2">
        <v>51750</v>
      </c>
      <c r="P53" s="2">
        <v>74750</v>
      </c>
      <c r="R53" s="2">
        <f t="shared" ref="R53:R54" si="21">H53+M53</f>
        <v>54877.17</v>
      </c>
      <c r="S53" s="2">
        <f>((I53*12)+N53)</f>
        <v>420324</v>
      </c>
      <c r="T53" s="2">
        <f t="shared" ref="T53:T54" si="22">((J53*48)+O53)</f>
        <v>1468326</v>
      </c>
      <c r="U53" s="2">
        <f t="shared" ref="U53:U54" si="23">((K53*100+P53))</f>
        <v>2442850</v>
      </c>
      <c r="W53" s="10">
        <f t="shared" ref="W53:W54" si="24">R53</f>
        <v>54877.17</v>
      </c>
      <c r="X53" s="10">
        <f t="shared" ref="X53:X54" si="25">S53/12</f>
        <v>35027</v>
      </c>
      <c r="Y53" s="11">
        <f t="shared" ref="Y53:Y54" si="26">T53/48</f>
        <v>30590.125</v>
      </c>
      <c r="Z53" s="11">
        <f t="shared" ref="Z53:Z54" si="27">U53/100</f>
        <v>24428.5</v>
      </c>
    </row>
    <row r="54" spans="1:26" x14ac:dyDescent="0.25">
      <c r="A54" s="21" t="s">
        <v>56</v>
      </c>
      <c r="C54" s="22">
        <v>33800</v>
      </c>
      <c r="D54" s="22">
        <v>24500</v>
      </c>
      <c r="E54" s="22">
        <v>25800</v>
      </c>
      <c r="F54" s="22">
        <v>21900</v>
      </c>
      <c r="H54" s="23">
        <f>((C54*19%)+C54)</f>
        <v>40222</v>
      </c>
      <c r="I54" s="23">
        <f>((D54*19%)+D54)</f>
        <v>29155</v>
      </c>
      <c r="J54" s="23">
        <f t="shared" si="15"/>
        <v>30702</v>
      </c>
      <c r="K54" s="24">
        <f t="shared" si="16"/>
        <v>26061</v>
      </c>
      <c r="M54" s="2">
        <v>17460</v>
      </c>
      <c r="N54" s="2">
        <v>23340</v>
      </c>
      <c r="O54" s="2">
        <v>51750</v>
      </c>
      <c r="P54" s="2">
        <v>74750</v>
      </c>
      <c r="R54" s="2">
        <f t="shared" si="21"/>
        <v>57682</v>
      </c>
      <c r="S54" s="2">
        <f t="shared" ref="S53:S54" si="28">((I54*12)+N54)</f>
        <v>373200</v>
      </c>
      <c r="T54" s="2">
        <f t="shared" si="22"/>
        <v>1525446</v>
      </c>
      <c r="U54" s="2">
        <f t="shared" si="23"/>
        <v>2680850</v>
      </c>
      <c r="W54" s="10">
        <f t="shared" si="24"/>
        <v>57682</v>
      </c>
      <c r="X54" s="10">
        <f t="shared" si="25"/>
        <v>31100</v>
      </c>
      <c r="Y54" s="11">
        <f t="shared" si="26"/>
        <v>31780.125</v>
      </c>
      <c r="Z54" s="11">
        <f t="shared" si="27"/>
        <v>26808.5</v>
      </c>
    </row>
  </sheetData>
  <mergeCells count="5">
    <mergeCell ref="M1:P1"/>
    <mergeCell ref="H1:K1"/>
    <mergeCell ref="R1:U1"/>
    <mergeCell ref="C1:F1"/>
    <mergeCell ref="W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Comercial</dc:creator>
  <cp:lastModifiedBy>Direccion Comercial</cp:lastModifiedBy>
  <dcterms:created xsi:type="dcterms:W3CDTF">2026-05-26T18:38:40Z</dcterms:created>
  <dcterms:modified xsi:type="dcterms:W3CDTF">2026-06-17T20:08:26Z</dcterms:modified>
</cp:coreProperties>
</file>